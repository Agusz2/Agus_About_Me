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24226"/>
  <mc:AlternateContent xmlns:mc="http://schemas.openxmlformats.org/markup-compatibility/2006">
    <mc:Choice Requires="x15">
      <x15ac:absPath xmlns:x15ac="http://schemas.microsoft.com/office/spreadsheetml/2010/11/ac" url="C:\Users\Usuario\Downloads\Portafolio\"/>
    </mc:Choice>
  </mc:AlternateContent>
  <xr:revisionPtr revIDLastSave="0" documentId="13_ncr:1_{433B24C5-D3DD-4126-BA8C-95D92E6E4D51}" xr6:coauthVersionLast="47" xr6:coauthVersionMax="47" xr10:uidLastSave="{00000000-0000-0000-0000-000000000000}"/>
  <bookViews>
    <workbookView xWindow="-120" yWindow="-120" windowWidth="29040" windowHeight="15720" xr2:uid="{00000000-000D-0000-FFFF-FFFF00000000}"/>
  </bookViews>
  <sheets>
    <sheet name="Matriz de Riesgo" sheetId="6" r:id="rId1"/>
    <sheet name="Plantilla Mitigación" sheetId="8" r:id="rId2"/>
    <sheet name="Mapa de Riesgos" sheetId="10" r:id="rId3"/>
  </sheets>
  <externalReferences>
    <externalReference r:id="rId4"/>
  </externalReferences>
  <definedNames>
    <definedName name="_xlnm._FilterDatabase" localSheetId="0" hidden="1">'Matriz de Riesgo'!$A$6:$Q$6</definedName>
    <definedName name="_xlnm._FilterDatabase" localSheetId="1" hidden="1">'Plantilla Mitigación'!$A$10:$L$10</definedName>
    <definedName name="causa">#REF!</definedName>
    <definedName name="factor">#REF!</definedName>
    <definedName name="Tipo_de_Riesgo">[1]Listas!$C$3:$C$18</definedName>
    <definedName name="tip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4" i="10" l="1"/>
  <c r="R5" i="10"/>
  <c r="P7" i="10"/>
  <c r="Q6" i="10"/>
  <c r="G5" i="10"/>
  <c r="B11" i="8"/>
  <c r="K8" i="6"/>
  <c r="K9" i="6"/>
  <c r="K10" i="6"/>
  <c r="K11" i="6"/>
  <c r="K12" i="6"/>
  <c r="K13" i="6"/>
  <c r="K14" i="6"/>
  <c r="K15" i="6"/>
  <c r="K16" i="6"/>
  <c r="F17" i="8"/>
  <c r="F18" i="8"/>
  <c r="F19" i="8"/>
  <c r="F20" i="8"/>
  <c r="F16" i="8"/>
  <c r="F14" i="8"/>
  <c r="F12" i="8"/>
  <c r="A20" i="8" l="1"/>
  <c r="A17" i="8"/>
  <c r="A18" i="8"/>
  <c r="A19" i="8"/>
  <c r="A14" i="8"/>
  <c r="A15" i="8"/>
  <c r="A16" i="8"/>
  <c r="J8" i="6"/>
  <c r="J9" i="6"/>
  <c r="J10" i="6"/>
  <c r="J11" i="6"/>
  <c r="J12" i="6"/>
  <c r="J13" i="6"/>
  <c r="J14" i="6"/>
  <c r="J15" i="6"/>
  <c r="J16" i="6"/>
  <c r="J7" i="6"/>
  <c r="B12" i="8"/>
  <c r="B13" i="8"/>
  <c r="B14" i="8"/>
  <c r="B15" i="8"/>
  <c r="B16" i="8"/>
  <c r="B17" i="8"/>
  <c r="B18" i="8"/>
  <c r="B19" i="8"/>
  <c r="B20" i="8"/>
  <c r="L16" i="8"/>
  <c r="L17" i="8"/>
  <c r="L18" i="8"/>
  <c r="L19" i="8"/>
  <c r="L20" i="8"/>
  <c r="L12" i="8"/>
  <c r="L13" i="8"/>
  <c r="L14" i="8"/>
  <c r="L15" i="8"/>
  <c r="L11" i="8"/>
  <c r="K7" i="6"/>
  <c r="F11" i="8"/>
  <c r="A13" i="8" l="1"/>
  <c r="A12" i="8"/>
  <c r="A11" i="8"/>
  <c r="F15" i="8" l="1"/>
  <c r="F13" i="8"/>
  <c r="E7" i="10" l="1"/>
  <c r="F6" i="10"/>
  <c r="H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Emmer</author>
  </authors>
  <commentList>
    <comment ref="O6" authorId="0" shapeId="0" xr:uid="{9B2D91F9-8025-4B50-BBED-2E0F79C52FBF}">
      <text>
        <r>
          <rPr>
            <b/>
            <sz val="9"/>
            <color rgb="FF000000"/>
            <rFont val="Tahoma"/>
            <family val="2"/>
          </rPr>
          <t>Emmer:</t>
        </r>
        <r>
          <rPr>
            <sz val="9"/>
            <color rgb="FF000000"/>
            <rFont val="Tahoma"/>
            <family val="2"/>
          </rPr>
          <t xml:space="preserve">
</t>
        </r>
        <r>
          <rPr>
            <sz val="9"/>
            <color rgb="FF000000"/>
            <rFont val="Tahoma"/>
            <family val="2"/>
          </rPr>
          <t>Manual / Automatico</t>
        </r>
      </text>
    </comment>
    <comment ref="P6" authorId="0" shapeId="0" xr:uid="{1245007E-054F-4455-83F6-9F80873E2CD9}">
      <text>
        <r>
          <rPr>
            <b/>
            <sz val="9"/>
            <color rgb="FF000000"/>
            <rFont val="Tahoma"/>
            <family val="2"/>
          </rPr>
          <t>Emmer:</t>
        </r>
        <r>
          <rPr>
            <sz val="9"/>
            <color rgb="FF000000"/>
            <rFont val="Tahoma"/>
            <family val="2"/>
          </rPr>
          <t xml:space="preserve">
</t>
        </r>
        <r>
          <rPr>
            <sz val="9"/>
            <color rgb="FF000000"/>
            <rFont val="Tahoma"/>
            <family val="2"/>
          </rPr>
          <t xml:space="preserve">Preventivo / Correctivo
</t>
        </r>
      </text>
    </comment>
  </commentList>
</comments>
</file>

<file path=xl/sharedStrings.xml><?xml version="1.0" encoding="utf-8"?>
<sst xmlns="http://schemas.openxmlformats.org/spreadsheetml/2006/main" count="263" uniqueCount="191">
  <si>
    <t>Proceso: Infraestructura Tecnológica</t>
  </si>
  <si>
    <t>MATRIZ DE RIESGOS TECNOLOGICO</t>
  </si>
  <si>
    <t>Evaluación</t>
  </si>
  <si>
    <t>Tipo Control</t>
  </si>
  <si>
    <t>ID</t>
  </si>
  <si>
    <t>Código de Riesgo</t>
  </si>
  <si>
    <t>Subproceso</t>
  </si>
  <si>
    <t>Area</t>
  </si>
  <si>
    <t>Nombre del Riesgo</t>
  </si>
  <si>
    <t>Descripción de Riesgo</t>
  </si>
  <si>
    <t>Causa del Riesgo</t>
  </si>
  <si>
    <t>Pr</t>
  </si>
  <si>
    <t>S</t>
  </si>
  <si>
    <t>Valor Riesgo Bruto</t>
  </si>
  <si>
    <t>Riesgo Bruto</t>
  </si>
  <si>
    <t>Control</t>
  </si>
  <si>
    <t>Referencias del control</t>
  </si>
  <si>
    <t>M/A</t>
  </si>
  <si>
    <t>P/C</t>
  </si>
  <si>
    <t>ValorEfec. Control</t>
  </si>
  <si>
    <t>R01</t>
  </si>
  <si>
    <t>Sistemas Operativos</t>
  </si>
  <si>
    <t>TI</t>
  </si>
  <si>
    <t>Ausencia de controles de contraseña robusto</t>
  </si>
  <si>
    <t>Los sistemas de registro de usuarios carecen de validación adecuada para asegurar que los usuarios establezcan contraseñas fuertes.</t>
  </si>
  <si>
    <t>La institución no cuenta con la validación adecuado para el proceso de registro, así como la falta de educación y conciencia de los usuarios; aunado a la falta de políticas organizacional en cuanto a seguridad de la información.</t>
  </si>
  <si>
    <t>Contratar al personal adecuado para realizar las actualizaciones necesarias a los software en cuando a seguridad.</t>
  </si>
  <si>
    <r>
      <rPr>
        <b/>
        <sz val="10"/>
        <color rgb="FF000000"/>
        <rFont val="Arial"/>
        <family val="2"/>
      </rPr>
      <t xml:space="preserve">CIS Control 4: </t>
    </r>
    <r>
      <rPr>
        <sz val="10"/>
        <color rgb="FF000000"/>
        <rFont val="Arial"/>
        <family val="2"/>
      </rPr>
      <t>Uso controlado de privilegios administrativos; dicho control está asociado a la protección de las cuentas a partir de contraseñas seguras.</t>
    </r>
  </si>
  <si>
    <t>M</t>
  </si>
  <si>
    <t>P</t>
  </si>
  <si>
    <t>R02</t>
  </si>
  <si>
    <t>R03</t>
  </si>
  <si>
    <t>R04</t>
  </si>
  <si>
    <t>R05</t>
  </si>
  <si>
    <t>R06</t>
  </si>
  <si>
    <t>R07</t>
  </si>
  <si>
    <t>Alto</t>
  </si>
  <si>
    <t>R08</t>
  </si>
  <si>
    <t>R09</t>
  </si>
  <si>
    <t>R10</t>
  </si>
  <si>
    <r>
      <rPr>
        <b/>
        <sz val="10"/>
        <color theme="1"/>
        <rFont val="Arial"/>
        <family val="2"/>
      </rPr>
      <t>Pr = Probabilidad:</t>
    </r>
    <r>
      <rPr>
        <sz val="10"/>
        <color theme="1"/>
        <rFont val="Arial"/>
        <family val="2"/>
      </rPr>
      <t xml:space="preserve"> </t>
    </r>
    <r>
      <rPr>
        <b/>
        <sz val="10"/>
        <color theme="1"/>
        <rFont val="Arial"/>
        <family val="2"/>
      </rPr>
      <t>1-Bajo:</t>
    </r>
    <r>
      <rPr>
        <sz val="10"/>
        <color theme="1"/>
        <rFont val="Arial"/>
        <family val="2"/>
      </rPr>
      <t xml:space="preserve"> una vez cada 2 o más años; </t>
    </r>
    <r>
      <rPr>
        <b/>
        <sz val="10"/>
        <color theme="1"/>
        <rFont val="Arial"/>
        <family val="2"/>
      </rPr>
      <t xml:space="preserve">2-Moderado: </t>
    </r>
    <r>
      <rPr>
        <sz val="10"/>
        <color theme="1"/>
        <rFont val="Arial"/>
        <family val="2"/>
      </rPr>
      <t xml:space="preserve">una vez al año; </t>
    </r>
    <r>
      <rPr>
        <b/>
        <sz val="10"/>
        <color theme="1"/>
        <rFont val="Arial"/>
        <family val="2"/>
      </rPr>
      <t xml:space="preserve">3-Alto: </t>
    </r>
    <r>
      <rPr>
        <sz val="10"/>
        <color theme="1"/>
        <rFont val="Arial"/>
        <family val="2"/>
      </rPr>
      <t xml:space="preserve">4 veces al año; </t>
    </r>
    <r>
      <rPr>
        <b/>
        <sz val="10"/>
        <color theme="1"/>
        <rFont val="Arial"/>
        <family val="2"/>
      </rPr>
      <t xml:space="preserve">4-Crítico: </t>
    </r>
    <r>
      <rPr>
        <sz val="10"/>
        <color theme="1"/>
        <rFont val="Arial"/>
        <family val="2"/>
      </rPr>
      <t>una vez al mes</t>
    </r>
  </si>
  <si>
    <r>
      <rPr>
        <b/>
        <sz val="10"/>
        <color theme="1"/>
        <rFont val="Arial"/>
        <family val="2"/>
      </rPr>
      <t>S = Severidad:</t>
    </r>
    <r>
      <rPr>
        <sz val="10"/>
        <color theme="1"/>
        <rFont val="Arial"/>
        <family val="2"/>
      </rPr>
      <t xml:space="preserve"> </t>
    </r>
    <r>
      <rPr>
        <b/>
        <sz val="10"/>
        <color theme="1"/>
        <rFont val="Arial"/>
        <family val="2"/>
      </rPr>
      <t>1-Bajo:</t>
    </r>
    <r>
      <rPr>
        <sz val="10"/>
        <color theme="1"/>
        <rFont val="Arial"/>
        <family val="2"/>
      </rPr>
      <t xml:space="preserve"> Hasta $10,000; </t>
    </r>
    <r>
      <rPr>
        <b/>
        <sz val="10"/>
        <color theme="1"/>
        <rFont val="Arial"/>
        <family val="2"/>
      </rPr>
      <t xml:space="preserve">2-Moderado: </t>
    </r>
    <r>
      <rPr>
        <sz val="10"/>
        <color theme="1"/>
        <rFont val="Arial"/>
        <family val="2"/>
      </rPr>
      <t xml:space="preserve">De $10,001 a $30,000; </t>
    </r>
    <r>
      <rPr>
        <b/>
        <sz val="10"/>
        <color theme="1"/>
        <rFont val="Arial"/>
        <family val="2"/>
      </rPr>
      <t xml:space="preserve">3-Alto: </t>
    </r>
    <r>
      <rPr>
        <sz val="10"/>
        <color theme="1"/>
        <rFont val="Arial"/>
        <family val="2"/>
      </rPr>
      <t xml:space="preserve">De $30,001 $100,000; </t>
    </r>
    <r>
      <rPr>
        <b/>
        <sz val="10"/>
        <color theme="1"/>
        <rFont val="Arial"/>
        <family val="2"/>
      </rPr>
      <t xml:space="preserve">4-Crítico: </t>
    </r>
    <r>
      <rPr>
        <sz val="10"/>
        <color theme="1"/>
        <rFont val="Arial"/>
        <family val="2"/>
      </rPr>
      <t>Más de $100,000.</t>
    </r>
  </si>
  <si>
    <r>
      <rPr>
        <b/>
        <sz val="10"/>
        <color theme="1"/>
        <rFont val="Arial"/>
        <family val="2"/>
      </rPr>
      <t>M/A:</t>
    </r>
    <r>
      <rPr>
        <sz val="10"/>
        <color theme="1"/>
        <rFont val="Arial"/>
        <family val="2"/>
      </rPr>
      <t xml:space="preserve"> Control </t>
    </r>
    <r>
      <rPr>
        <b/>
        <sz val="10"/>
        <color theme="1"/>
        <rFont val="Arial"/>
        <family val="2"/>
      </rPr>
      <t>M</t>
    </r>
    <r>
      <rPr>
        <sz val="10"/>
        <color theme="1"/>
        <rFont val="Arial"/>
        <family val="2"/>
      </rPr>
      <t xml:space="preserve">anual o </t>
    </r>
    <r>
      <rPr>
        <b/>
        <sz val="10"/>
        <color theme="1"/>
        <rFont val="Arial"/>
        <family val="2"/>
      </rPr>
      <t>A</t>
    </r>
    <r>
      <rPr>
        <sz val="10"/>
        <color theme="1"/>
        <rFont val="Arial"/>
        <family val="2"/>
      </rPr>
      <t xml:space="preserve">utomatizado </t>
    </r>
  </si>
  <si>
    <r>
      <rPr>
        <b/>
        <sz val="10"/>
        <color theme="1"/>
        <rFont val="Arial"/>
        <family val="2"/>
      </rPr>
      <t>P/C:</t>
    </r>
    <r>
      <rPr>
        <sz val="10"/>
        <color theme="1"/>
        <rFont val="Arial"/>
        <family val="2"/>
      </rPr>
      <t xml:space="preserve"> Control </t>
    </r>
    <r>
      <rPr>
        <b/>
        <sz val="10"/>
        <color theme="1"/>
        <rFont val="Arial"/>
        <family val="2"/>
      </rPr>
      <t>P</t>
    </r>
    <r>
      <rPr>
        <sz val="10"/>
        <color theme="1"/>
        <rFont val="Arial"/>
        <family val="2"/>
      </rPr>
      <t xml:space="preserve">reventico o </t>
    </r>
    <r>
      <rPr>
        <b/>
        <sz val="10"/>
        <color theme="1"/>
        <rFont val="Arial"/>
        <family val="2"/>
      </rPr>
      <t>C</t>
    </r>
    <r>
      <rPr>
        <sz val="10"/>
        <color theme="1"/>
        <rFont val="Arial"/>
        <family val="2"/>
      </rPr>
      <t xml:space="preserve">orrectivo </t>
    </r>
  </si>
  <si>
    <t>PROCESO DE FORTALECIMIENTO DE SISTEMAS OPERATIVOS</t>
  </si>
  <si>
    <t>PLAN DE MITIGACION PARA RIESGOS CALIFICADOS COMO RELEVANTES</t>
  </si>
  <si>
    <t>#</t>
  </si>
  <si>
    <t>Factores de Riesgo</t>
  </si>
  <si>
    <t>Nivel del Riesgo Residual</t>
  </si>
  <si>
    <t>Plan de Acción</t>
  </si>
  <si>
    <t>Responsable</t>
  </si>
  <si>
    <t>Fecha estimada de Ejecución</t>
  </si>
  <si>
    <t>Fecha 1 Reprogramación</t>
  </si>
  <si>
    <t>Fecha 2 Reprogramación</t>
  </si>
  <si>
    <t>Fecha real de Implementación</t>
  </si>
  <si>
    <t>Observaciones</t>
  </si>
  <si>
    <t>Efec. Control</t>
  </si>
  <si>
    <t>Medio</t>
  </si>
  <si>
    <t>Evaluar y actualizar las políticas de contraseñas de la institución para garantizar que sean sólidas. Cocientizar al personal sobre la importancia de contraseñas fuertes y seguras. Cambiar periódicamente las contraseñas.</t>
  </si>
  <si>
    <t>Moderado</t>
  </si>
  <si>
    <t>RESUMEN DEL RIESGO BRUTO</t>
  </si>
  <si>
    <t>RESUMEN DEL RIESGO RESIDUAL</t>
  </si>
  <si>
    <t>Probabilidad</t>
  </si>
  <si>
    <t>Muy Probable</t>
  </si>
  <si>
    <t>Probable</t>
  </si>
  <si>
    <t>Ocasional</t>
  </si>
  <si>
    <t>Poco Probable</t>
  </si>
  <si>
    <t>Bajo</t>
  </si>
  <si>
    <t>Hasta US$20,000</t>
  </si>
  <si>
    <t>Hasta US$50,000</t>
  </si>
  <si>
    <t>Hasta US$100,000</t>
  </si>
  <si>
    <t>Mas US$100,000</t>
  </si>
  <si>
    <t>IMPACTO</t>
  </si>
  <si>
    <t>Planes de Acción</t>
  </si>
  <si>
    <t>Frecuencia de Ocurrencia</t>
  </si>
  <si>
    <t>Nivel de Riesgo</t>
  </si>
  <si>
    <t>Calificación</t>
  </si>
  <si>
    <t>Descripción</t>
  </si>
  <si>
    <t>Se definen Plan de Acción</t>
  </si>
  <si>
    <t>Una vez al año</t>
  </si>
  <si>
    <t>Indica que los riesgos identificados se han presentado o se  pueden presentar de forma muyocasional una vezal año o a más de una año</t>
  </si>
  <si>
    <t>Una vez cada 6meses</t>
  </si>
  <si>
    <t xml:space="preserve">
Indica que los riesgos identificados se han presentado o se  pueden presentar de forma ocasional cada seismeses.</t>
  </si>
  <si>
    <t>No requieren de Plan de Acción</t>
  </si>
  <si>
    <t>Una vez cada 3meses</t>
  </si>
  <si>
    <t xml:space="preserve">
Indica que los riesgos identificados se han presentado o se  pueden presentar de manera común durante cada tres meses.</t>
  </si>
  <si>
    <t>Una vez almes</t>
  </si>
  <si>
    <t>Indica que los eventos derivados de un riesgo operacional se han presentado o se pueden presentar con un comportamiento muy a menudo durante un mes o en menos de unmes.</t>
  </si>
  <si>
    <t>Nivel de Impacto sobre Patrimonio</t>
  </si>
  <si>
    <t>Efectivida del Control</t>
  </si>
  <si>
    <t>1.0 a 2.9</t>
  </si>
  <si>
    <t>Hasta $20,000.00</t>
  </si>
  <si>
    <t>Menor</t>
  </si>
  <si>
    <t>=&gt; 75%</t>
  </si>
  <si>
    <t>Efectivo</t>
  </si>
  <si>
    <t>3.0 a 5.9</t>
  </si>
  <si>
    <t>De $20,001 hasta $50,000</t>
  </si>
  <si>
    <t>50 a 74.9%</t>
  </si>
  <si>
    <t xml:space="preserve">Medianamente efectivo </t>
  </si>
  <si>
    <t>6.0 a 9.9</t>
  </si>
  <si>
    <t>De $50,001 hasta $100,000</t>
  </si>
  <si>
    <t>Mayor</t>
  </si>
  <si>
    <t xml:space="preserve">25 a 49.9% </t>
  </si>
  <si>
    <t xml:space="preserve">Poco efectivo </t>
  </si>
  <si>
    <t>10.0 a 16.0</t>
  </si>
  <si>
    <t>Más de $100,000</t>
  </si>
  <si>
    <t>Crìtico</t>
  </si>
  <si>
    <t>&lt; 25%</t>
  </si>
  <si>
    <t>Infectivo o inexistente</t>
  </si>
  <si>
    <t>Comunicaciones oficiales</t>
  </si>
  <si>
    <t>Ausencia de MFA y filtrado avanzado en correo</t>
  </si>
  <si>
    <t>Las cuentas de correo se protegen solo con usuario y contraseña, sin doble factor ni políticas consistentes de filtrado anti-phishing, lo que facilita robo de credenciales.</t>
  </si>
  <si>
    <t>Dependencia histórica solo en contraseña, ausencia de política institucional que exija MFA y limitaciones en la configuración actual del servicio.</t>
  </si>
  <si>
    <t>Habilitar autenticación multifactor para usuarios críticos, endurecer las políticas de correo (SPF, DKIM, DMARC) y activar filtros de phishing y malware a nivel de servidor.</t>
  </si>
  <si>
    <t>Plataforma de aulas virtuales</t>
  </si>
  <si>
    <t>Falta de monitoreo y plan de continuidad del aula virtual</t>
  </si>
  <si>
    <t>No existe un monitoreo proactivo del rendimiento ni un procedimiento formal para actuar ante caídas del sistema, afectando evaluaciones y clases en línea</t>
  </si>
  <si>
    <t>Crecimiento del uso de la plataforma sin que se haya actualizado formalmente la gestión de capacidad, monitoreo y continuidad del servicio.</t>
  </si>
  <si>
    <t>Implementar monitoreo 24/7 de disponibilidad, alarmas, procedimientos de respuesta y un plan de recuperación documentado para la plataforma virtual.</t>
  </si>
  <si>
    <t>Monitoreo y auditoría</t>
  </si>
  <si>
    <t>Registros de seguridad dispersos y sin centralización</t>
  </si>
  <si>
    <t>Cada servidor genera logs de manera aislada; no existe un sistema centralizado que permita correlacionar eventos ni detectar patrones de ataque.</t>
  </si>
  <si>
    <t>Falta de inversión y proyecto específico para implementar solución de SIEM o plataforma de logs centralizada, pese al crecimiento de servicios.</t>
  </si>
  <si>
    <t>Implementar una solución de centralización de logs (SIEM o similar), definir qué eventos se recopilan y establecer alertas ante comportamientos anómalos.</t>
  </si>
  <si>
    <t>Concienciación y formación</t>
  </si>
  <si>
    <t>Ausencia de programa formal y periódico de concienciación</t>
  </si>
  <si>
    <t>Las capacitaciones en ciberseguridad se realizan de forma esporádica y sin un programa anual; muchos usuarios desconocen buenas prácticas de uso de Wi-Fi, correo o contraseñas.</t>
  </si>
  <si>
    <t>No existe un plan institucional de formación en ciberseguridad con responsables, calendario y contenidos definidos.</t>
  </si>
  <si>
    <t>Diseñar e implementar un programa anual de concienciación (charlas, campañas, material digital) con métricas de participación y evaluación de aprendizaje.</t>
  </si>
  <si>
    <t>Evaluación de seguridad</t>
  </si>
  <si>
    <t>Ausencia de pruebas de penetración y evaluaciones técnicas periódicas</t>
  </si>
  <si>
    <t>No se realizan pruebas periódicas de pentesting o escaneos de seguridad completos que permitan identificar vulnerabilidades explotables en la infraestructura.</t>
  </si>
  <si>
    <t>Limitaciones de recursos y priorización de la operación diaria frente a actividades de prueba técnica formal y continua.</t>
  </si>
  <si>
    <t>Planificar y ejecutar, al menos una vez al año, pruebas de penetración y evaluaciones de vulnerabilidades con reporte formal y plan de remediación.</t>
  </si>
  <si>
    <t>Servicios en línea</t>
  </si>
  <si>
    <t>Vulnerabilidades web por falta de pruebas de seguridad en las aplicaciones</t>
  </si>
  <si>
    <t>Los portales y aplicaciones web se actualizan funcionalmente, pero no pasan por pruebas de seguridad especializadas (OWASP), dejando posibles fallos de inyección, XSS o exposición de información.</t>
  </si>
  <si>
    <t>Ciclo de desarrollo enfocado en funcionalidades y tiempos de entrega, sin una etapa obligatoria de pruebas de seguridad en el SDLC.</t>
  </si>
  <si>
    <t>Incorporar análisis de código y escaneos de vulnerabilidades web, además de pruebas manuales basadas en OWASP, antes de publicar o actualizar aplicaciones.</t>
  </si>
  <si>
    <t>Gestión de software</t>
  </si>
  <si>
    <t>Uso de software no inventariado ni autorizado</t>
  </si>
  <si>
    <t>En los equipos se encuentran múltiples aplicaciones instaladas por los usuarios (descargas de Internet, versiones de prueba, herramientas no académicas) sin estar registradas ni aprobadas, lo que aumenta la superficie de ataque.</t>
  </si>
  <si>
    <t>No existe un inventario actualizado de software ni listas claras de aplicaciones permitidas/prohibidas para laboratorios y oficinas.</t>
  </si>
  <si>
    <t>Crear y mantener un inventario central de software, definir listas blancas y negras, y usar herramientas para impedir la instalación de aplicaciones no autorizadas en los equipos institucionales.</t>
  </si>
  <si>
    <t>Servicios contratados</t>
  </si>
  <si>
    <t>Administración de infraestructura de red</t>
  </si>
  <si>
    <t>Desconocimiento de todos los dispositivos de red instalados</t>
  </si>
  <si>
    <t>Contratos con proveedores sin requisitos claros de seguridad</t>
  </si>
  <si>
    <t>No hay un registro consolidado de todos los switches, routers, puntos de acceso y otros dispositivos de red por campus; algunos fueron instalados en proyectos antiguos y no figuran en el inventario actual.</t>
  </si>
  <si>
    <t>Algunos contratos con plataformas externas (pagos, biblioteca, herramientas académicas) no incluyen cláusulas específicas sobre seguridad de la información, notificación de incidentes o ubicación/geografía de los datos.</t>
  </si>
  <si>
    <t>Falta de proceso formal para registrar en el inventario cada nuevo dispositivo de red y actualizarlo cuando se retiran o cambian equipos.</t>
  </si>
  <si>
    <t>En los procesos de contratación se prioriza precio y funcionalidad, sin una plantilla estándar de requisitos de seguridad que se exija a todos los proveedores.</t>
  </si>
  <si>
    <t>Establecer un inventario de infraestructura de red que incluya modelo, serie, IP, ubicación física, responsable y estado, con revisiones periódicas para detectar dispositivos no autorizados.</t>
  </si>
  <si>
    <t>Definir una política de gestión de proveedores que obligue a incluir en los contratos cláusulas mínimas de seguridad (controles, reportes, notificación de incidentes, cifrado, borrado de datos) y revisarlos antes de la firma.</t>
  </si>
  <si>
    <r>
      <rPr>
        <b/>
        <sz val="10"/>
        <color rgb="FF000000"/>
        <rFont val="Arial"/>
        <family val="2"/>
      </rPr>
      <t xml:space="preserve">CIS Control 6: </t>
    </r>
    <r>
      <rPr>
        <sz val="10"/>
        <color rgb="FF000000"/>
        <rFont val="Arial"/>
        <family val="2"/>
      </rPr>
      <t xml:space="preserve">Gestión de control de acceso: establece que el acceso a servicios críticos (como correo) debe reforzarse con autenticación fuerte y controles adicionales. </t>
    </r>
  </si>
  <si>
    <r>
      <rPr>
        <b/>
        <sz val="10"/>
        <color rgb="FF000000"/>
        <rFont val="Arial"/>
        <family val="2"/>
      </rPr>
      <t>CIS Control 17:</t>
    </r>
    <r>
      <rPr>
        <sz val="10"/>
        <color rgb="FF000000"/>
        <rFont val="Arial"/>
        <family val="2"/>
      </rPr>
      <t xml:space="preserve"> Gestión de respuesta a incidentes: indica que se deben definir planes, roles y procedimientos ante incidentes que afecten servicios críticos como el aula virtual.</t>
    </r>
  </si>
  <si>
    <r>
      <rPr>
        <b/>
        <sz val="10"/>
        <color rgb="FF000000"/>
        <rFont val="Arial"/>
        <family val="2"/>
      </rPr>
      <t>CIS Control 8:</t>
    </r>
    <r>
      <rPr>
        <sz val="10"/>
        <color rgb="FF000000"/>
        <rFont val="Arial"/>
        <family val="2"/>
      </rPr>
      <t xml:space="preserve"> Gestión de registros de auditoría: exige recopilar, centralizar, proteger y revisar periódicamente los logs para apoyar la detección e investigación de incidentes.</t>
    </r>
  </si>
  <si>
    <r>
      <rPr>
        <b/>
        <sz val="10"/>
        <color rgb="FF000000"/>
        <rFont val="Arial"/>
        <family val="2"/>
      </rPr>
      <t>CIS Control 14:</t>
    </r>
    <r>
      <rPr>
        <sz val="10"/>
        <color rgb="FF000000"/>
        <rFont val="Arial"/>
        <family val="2"/>
      </rPr>
      <t xml:space="preserve"> Formación y concienciación en seguridad: propone capacitar regularmente a los usuarios para reducir riesgos derivados del factor humano.</t>
    </r>
  </si>
  <si>
    <r>
      <rPr>
        <b/>
        <sz val="10"/>
        <color rgb="FF000000"/>
        <rFont val="Arial"/>
        <family val="2"/>
      </rPr>
      <t xml:space="preserve">CIS Control 18: </t>
    </r>
    <r>
      <rPr>
        <sz val="10"/>
        <color rgb="FF000000"/>
        <rFont val="Arial"/>
        <family val="2"/>
      </rPr>
      <t>Pruebas de penetración y ejercicios de red team: recomienda realizar pruebas controladas para validar la efectividad de los controles de seguridad implementados.</t>
    </r>
  </si>
  <si>
    <r>
      <rPr>
        <b/>
        <sz val="10"/>
        <color rgb="FF000000"/>
        <rFont val="Arial"/>
        <family val="2"/>
      </rPr>
      <t>CIS Control 16:</t>
    </r>
    <r>
      <rPr>
        <sz val="10"/>
        <color rgb="FF000000"/>
        <rFont val="Arial"/>
        <family val="2"/>
      </rPr>
      <t xml:space="preserve"> Seguridad en el ciclo de vida de desarrollo de software: establece que el desarrollo de software debe integrar revisiones y pruebas de seguridad para reducir vulnerabilidades explotables.</t>
    </r>
  </si>
  <si>
    <r>
      <rPr>
        <b/>
        <sz val="10"/>
        <color rgb="FF000000"/>
        <rFont val="Arial"/>
        <family val="2"/>
      </rPr>
      <t>CIS Control 2:</t>
    </r>
    <r>
      <rPr>
        <sz val="10"/>
        <color rgb="FF000000"/>
        <rFont val="Arial"/>
        <family val="2"/>
      </rPr>
      <t xml:space="preserve"> Inventario y control de activos de software: establece que la organización debe identificar, registrar y controlar el software autorizado, bloqueando o eliminando aquel que no esté aprobado.</t>
    </r>
  </si>
  <si>
    <r>
      <rPr>
        <b/>
        <sz val="10"/>
        <color rgb="FF000000"/>
        <rFont val="Arial"/>
        <family val="2"/>
      </rPr>
      <t xml:space="preserve">CIS Control 1: </t>
    </r>
    <r>
      <rPr>
        <sz val="10"/>
        <color rgb="FF000000"/>
        <rFont val="Arial"/>
        <family val="2"/>
      </rPr>
      <t>Inventario y control de activos empresariales: indica que la organización debe conocer todos los dispositivos conectados (incluidos equipos de red) para poder monitorearlos y protegerlos adecuadamente.</t>
    </r>
  </si>
  <si>
    <r>
      <rPr>
        <b/>
        <sz val="10"/>
        <color rgb="FF000000"/>
        <rFont val="Arial"/>
        <family val="2"/>
      </rPr>
      <t xml:space="preserve">CIS Control 15: </t>
    </r>
    <r>
      <rPr>
        <sz val="10"/>
        <color rgb="FF000000"/>
        <rFont val="Arial"/>
        <family val="2"/>
      </rPr>
      <t>Gestión de proveedores de servicio: establece que se debe evaluar y gestionar a los proveedores, incluyendo requisitos de seguridad en los contratos y su revisión periódica para proteger plataformas y datos de la organización.</t>
    </r>
  </si>
  <si>
    <t>4</t>
  </si>
  <si>
    <t>A</t>
  </si>
  <si>
    <t>C</t>
  </si>
  <si>
    <r>
      <rPr>
        <b/>
        <sz val="10"/>
        <color theme="1"/>
        <rFont val="Arial"/>
        <family val="2"/>
      </rPr>
      <t xml:space="preserve">Fecha de Elaboración: </t>
    </r>
    <r>
      <rPr>
        <sz val="10"/>
        <color theme="1"/>
        <rFont val="Arial"/>
        <family val="2"/>
      </rPr>
      <t xml:space="preserve"> 24/11/2025</t>
    </r>
  </si>
  <si>
    <r>
      <rPr>
        <b/>
        <sz val="10"/>
        <color theme="1"/>
        <rFont val="Arial"/>
        <family val="2"/>
      </rPr>
      <t xml:space="preserve">Proceso:    </t>
    </r>
    <r>
      <rPr>
        <sz val="10"/>
        <color theme="1"/>
        <rFont val="Arial"/>
        <family val="2"/>
      </rPr>
      <t xml:space="preserve">                  #1</t>
    </r>
  </si>
  <si>
    <r>
      <rPr>
        <b/>
        <sz val="10"/>
        <color theme="1"/>
        <rFont val="Arial"/>
        <family val="2"/>
      </rPr>
      <t xml:space="preserve">Analista de Riesgo:   </t>
    </r>
    <r>
      <rPr>
        <sz val="10"/>
        <color theme="1"/>
        <rFont val="Arial"/>
        <family val="2"/>
      </rPr>
      <t xml:space="preserve">  Agustín Sánchez</t>
    </r>
  </si>
  <si>
    <r>
      <rPr>
        <b/>
        <sz val="10"/>
        <color theme="1"/>
        <rFont val="Arial"/>
        <family val="2"/>
      </rPr>
      <t xml:space="preserve">Fecha de aprobación:    </t>
    </r>
    <r>
      <rPr>
        <sz val="10"/>
        <color theme="1"/>
        <rFont val="Arial"/>
        <family val="2"/>
      </rPr>
      <t>24/11/2025</t>
    </r>
  </si>
  <si>
    <r>
      <rPr>
        <b/>
        <sz val="10"/>
        <color theme="1"/>
        <rFont val="Arial"/>
        <family val="2"/>
      </rPr>
      <t xml:space="preserve">Dueño del Proceso:    </t>
    </r>
    <r>
      <rPr>
        <sz val="10"/>
        <color theme="1"/>
        <rFont val="Arial"/>
        <family val="2"/>
      </rPr>
      <t>Muriel Jaramillo</t>
    </r>
  </si>
  <si>
    <t>Habilitar autenticación multifactor para las cuentas de correo institucional comenzando por usuarios críticos (TI, autoridades, finanzas). Configurar y reforzar los mecanismos SPF, DKIM y DMARC en el dominio institucional. Implementar filtros avanzados anti-phishing y antimalware en el servidor de correo y realizar campañas de simulación de phishing para medir y mejorar la respuesta de los usuarios.</t>
  </si>
  <si>
    <t>Implementar herramientas de monitoreo 24/7 para la plataforma de aulas virtuales (disponibilidad, rendimiento y uso). Definir un procedimiento formal de respuesta ante caídas o degradación del servicio, incluyendo responsables y tiempos de recuperación esperados. Establecer respaldos frecuentes de la base de datos del LMS y pruebas periódicas de restauración para asegurar la continuidad académica.</t>
  </si>
  <si>
    <t>Diseñar e implementar una solución de centralización de logs (SIEM o equivalente) que recoja eventos de los servidores, dispositivos de red y aplicaciones críticas. Definir qué eventos deben registrarse, el tiempo de retención y los responsables de su revisión periódica. Configurar alertas automáticas para eventos de seguridad relevantes y documentar los procedimientos de análisis e investigación.</t>
  </si>
  <si>
    <t>Elaborar un programa anual de concienciación en ciberseguridad dirigido a docentes, administrativos y estudiantes. Planificar charlas, talleres y campañas digitales sobre temas clave (phishing, contraseñas, uso seguro de Wi-Fi, protección de datos). Establecer métricas de participación y evaluaciones breves para medir el nivel de comprensión y ajustar los contenidos en cada ciclo.</t>
  </si>
  <si>
    <t>Definir un calendario anual de pruebas de penetración y escaneos de vulnerabilidades sobre la infraestructura crítica (servidores, aplicaciones web, red). Contratar servicios especializados o conformar un equipo interno que ejecute las pruebas siguiendo metodologías reconocidas. Documentar los hallazgos en informes formales, priorizar las vulnerabilidades y asignar responsables y fechas de cierre para la remediación.</t>
  </si>
  <si>
    <t>Incorporar una fase obligatoria de pruebas de seguridad en el ciclo de desarrollo y actualización de aplicaciones web institucionales. Ejecutar análisis automatizados de vulnerabilidades (escáner web) y pruebas manuales basadas en OWASP antes de publicar cambios en producción. Mantener un registro de resultados, aplicar correcciones y volver a probar hasta cerrar las vulnerabilidades críticas y altas.</t>
  </si>
  <si>
    <t>Levantar un inventario completo del software instalado en laboratorios y oficinas administrativas. Definir una lista de aplicaciones autorizadas y no autorizadas según la función de cada área. Implementar herramientas de control de aplicaciones para bloquear instalaciones no permitidas y establecer un procedimiento para solicitar y aprobar nuevas herramientas de forma controlada.</t>
  </si>
  <si>
    <t>Realizar un levantamiento físico y lógico de todos los dispositivos de red por campus (switches, routers, AP, firewalls), registrando modelo, serie, IP, ubicación y responsable. Crear y mantener un inventario centralizado que se actualice cada vez que se agregue, reubique o retire un equipo de red. Establecer revisiones periódicas para detectar dispositivos no autorizados o mal documentados.</t>
  </si>
  <si>
    <t>Diseñar una plantilla estándar de requisitos de seguridad de la información para ser incluida en todos los contratos con proveedores de servicios tecnológicos. Revisar los contratos vigentes más críticos (pagos, biblioteca, plataformas académicas) e incorporar, en la medida de lo posible, cláusulas de seguridad, notificación de incidentes, ubicación de datos y borrado seguro al finalizar el servicio. Coordinar con Compras y Asesoría Legal para que ningún nuevo contrato se firme sin revisión previa de dichos requisitos.</t>
  </si>
  <si>
    <t>Falta de políticas claras y configuración técnica de contraseñas (complejidad, bloqueo, caducidad), sumado al bajo nivel de concienciación de los usuarios.</t>
  </si>
  <si>
    <t>Dependencia solo de contraseñas, ausencia de MFA y filtros anti-phishing robustos en el correo institucional, pese a su alta exposición a mensajes externos.</t>
  </si>
  <si>
    <t>Crecimiento del uso del LMS sin monitoreo 24/7 ni plan formal de respuesta ante caídas, a pesar de ser crítico para clases y evaluaciones.</t>
  </si>
  <si>
    <t>Cada servidor registra eventos de forma aislada, sin centralización ni revisión periódica, lo que impide detectar patrones de ataque.</t>
  </si>
  <si>
    <t>No hay programa anual de formación en ciberseguridad; las charlas son puntuales y muchos usuarios desconocen las buenas prácticas básicas.</t>
  </si>
  <si>
    <t>No existe un calendario formal de pentesting ni escaneos de vulnerabilidades, por priorizar la operación diaria sobre la revisión de seguridad.</t>
  </si>
  <si>
    <t>Las aplicaciones web se actualizan sin análisis automatizados ni pruebas OWASP, dejando posibles fallos de inyección y exposición de datos.</t>
  </si>
  <si>
    <t>Los usuarios pueden instalar aplicaciones por su cuenta, sin inventario actualizado ni listas de software permitido/prohibido.</t>
  </si>
  <si>
    <t>No hay registro central de todos los switches, routers y AP, ni proceso formal para actualizar el inventario cuando se añaden o retiran equipos.</t>
  </si>
  <si>
    <t>Se prioriza precio y funcionalidad en los contratos con proveedores, sin exigir requisitos mínimos de seguridad ni manejo adecuado de datos.</t>
  </si>
  <si>
    <t>Por: Agustín Sánchez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</si>
</sst>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0" x14ac:knownFonts="1">
    <font>
      <sz val="11"/>
      <color theme="1"/>
      <name val="Calibri"/>
      <family val="2"/>
      <scheme val="minor"/>
    </font>
    <font>
      <sz val="10"/>
      <color theme="1"/>
      <name val="Arial"/>
      <family val="2"/>
    </font>
    <font>
      <b/>
      <sz val="10"/>
      <color theme="1"/>
      <name val="Arial"/>
      <family val="2"/>
    </font>
    <font>
      <sz val="9"/>
      <color theme="1"/>
      <name val="Arial"/>
      <family val="2"/>
    </font>
    <font>
      <b/>
      <sz val="9"/>
      <color theme="1"/>
      <name val="Arial"/>
      <family val="2"/>
    </font>
    <font>
      <b/>
      <sz val="8"/>
      <color theme="0"/>
      <name val="Arial"/>
      <family val="2"/>
    </font>
    <font>
      <b/>
      <sz val="8"/>
      <name val="Arial"/>
      <family val="2"/>
    </font>
    <font>
      <sz val="11"/>
      <color theme="1"/>
      <name val="Calibri"/>
      <family val="2"/>
      <scheme val="minor"/>
    </font>
    <font>
      <sz val="10"/>
      <name val="Arial"/>
      <family val="2"/>
    </font>
    <font>
      <sz val="11"/>
      <name val="Arial"/>
      <family val="2"/>
    </font>
    <font>
      <sz val="10"/>
      <color rgb="FFFF0000"/>
      <name val="Arial"/>
      <family val="2"/>
    </font>
    <font>
      <sz val="12"/>
      <name val="Arial"/>
      <family val="2"/>
    </font>
    <font>
      <b/>
      <sz val="12"/>
      <color theme="0"/>
      <name val="Arial"/>
      <family val="2"/>
    </font>
    <font>
      <sz val="10"/>
      <color theme="0"/>
      <name val="Arial"/>
      <family val="2"/>
    </font>
    <font>
      <b/>
      <sz val="10"/>
      <color theme="0"/>
      <name val="Arial"/>
      <family val="2"/>
    </font>
    <font>
      <sz val="11"/>
      <color theme="1"/>
      <name val="Arial"/>
      <family val="2"/>
    </font>
    <font>
      <b/>
      <sz val="14"/>
      <color theme="0"/>
      <name val="Arial"/>
      <family val="2"/>
    </font>
    <font>
      <b/>
      <sz val="11"/>
      <name val="Arial"/>
      <family val="2"/>
    </font>
    <font>
      <b/>
      <sz val="20"/>
      <name val="Arial"/>
      <family val="2"/>
    </font>
    <font>
      <b/>
      <sz val="9"/>
      <name val="Arial"/>
      <family val="2"/>
    </font>
    <font>
      <sz val="9"/>
      <name val="Arial"/>
      <family val="2"/>
    </font>
    <font>
      <b/>
      <sz val="12"/>
      <color theme="1"/>
      <name val="Arial"/>
      <family val="2"/>
    </font>
    <font>
      <sz val="12"/>
      <color theme="1"/>
      <name val="Arial"/>
      <family val="2"/>
    </font>
    <font>
      <b/>
      <sz val="9"/>
      <color theme="0"/>
      <name val="Arial"/>
      <family val="2"/>
    </font>
    <font>
      <sz val="8"/>
      <name val="Calibri"/>
      <family val="2"/>
      <scheme val="minor"/>
    </font>
    <font>
      <sz val="10"/>
      <color rgb="FF000000"/>
      <name val="Arial"/>
      <family val="2"/>
    </font>
    <font>
      <b/>
      <sz val="9"/>
      <color rgb="FF000000"/>
      <name val="Tahoma"/>
      <family val="2"/>
    </font>
    <font>
      <sz val="9"/>
      <color rgb="FF000000"/>
      <name val="Tahoma"/>
      <family val="2"/>
    </font>
    <font>
      <b/>
      <sz val="10"/>
      <color rgb="FF000000"/>
      <name val="Arial"/>
      <family val="2"/>
    </font>
    <font>
      <sz val="11"/>
      <color rgb="FF000000"/>
      <name val="Calibri"/>
      <family val="2"/>
      <scheme val="minor"/>
    </font>
  </fonts>
  <fills count="1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rgb="FFFF9933"/>
        <bgColor indexed="64"/>
      </patternFill>
    </fill>
    <fill>
      <patternFill patternType="solid">
        <fgColor rgb="FF009900"/>
        <bgColor indexed="64"/>
      </patternFill>
    </fill>
    <fill>
      <patternFill patternType="solid">
        <fgColor rgb="FFE26B0A"/>
        <bgColor indexed="64"/>
      </patternFill>
    </fill>
    <fill>
      <patternFill patternType="solid">
        <fgColor theme="0"/>
        <bgColor indexed="64"/>
      </patternFill>
    </fill>
    <fill>
      <patternFill patternType="solid">
        <fgColor theme="2" tint="-0.89999084444715716"/>
        <bgColor indexed="64"/>
      </patternFill>
    </fill>
    <fill>
      <patternFill patternType="solid">
        <fgColor theme="1"/>
        <bgColor indexed="64"/>
      </patternFill>
    </fill>
    <fill>
      <patternFill patternType="solid">
        <fgColor rgb="FF00B050"/>
        <bgColor indexed="64"/>
      </patternFill>
    </fill>
    <fill>
      <patternFill patternType="solid">
        <fgColor rgb="FFFFC000"/>
        <bgColor indexed="64"/>
      </patternFill>
    </fill>
    <fill>
      <patternFill patternType="solid">
        <fgColor rgb="FF339966"/>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bottom style="thin">
        <color indexed="64"/>
      </bottom>
      <diagonal/>
    </border>
    <border>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0"/>
      </left>
      <right/>
      <top/>
      <bottom/>
      <diagonal/>
    </border>
    <border>
      <left style="thin">
        <color indexed="64"/>
      </left>
      <right/>
      <top style="thin">
        <color theme="0"/>
      </top>
      <bottom style="thin">
        <color indexed="64"/>
      </bottom>
      <diagonal/>
    </border>
    <border>
      <left/>
      <right style="thin">
        <color indexed="64"/>
      </right>
      <top style="thin">
        <color theme="0"/>
      </top>
      <bottom style="thin">
        <color indexed="64"/>
      </bottom>
      <diagonal/>
    </border>
    <border>
      <left/>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indexed="64"/>
      </left>
      <right style="thin">
        <color indexed="64"/>
      </right>
      <top/>
      <bottom/>
      <diagonal/>
    </border>
    <border>
      <left/>
      <right/>
      <top style="thin">
        <color indexed="64"/>
      </top>
      <bottom/>
      <diagonal/>
    </border>
  </borders>
  <cellStyleXfs count="5">
    <xf numFmtId="0" fontId="0" fillId="0" borderId="0"/>
    <xf numFmtId="9" fontId="7" fillId="0" borderId="0" applyFont="0" applyFill="0" applyBorder="0" applyAlignment="0" applyProtection="0"/>
    <xf numFmtId="0" fontId="8" fillId="0" borderId="0"/>
    <xf numFmtId="0" fontId="8" fillId="0" borderId="0"/>
    <xf numFmtId="0" fontId="8" fillId="0" borderId="0"/>
  </cellStyleXfs>
  <cellXfs count="158">
    <xf numFmtId="0" fontId="0" fillId="0" borderId="0" xfId="0"/>
    <xf numFmtId="0" fontId="1" fillId="0" borderId="0" xfId="0" applyFont="1"/>
    <xf numFmtId="0" fontId="1" fillId="0" borderId="0" xfId="0" applyFont="1" applyAlignment="1">
      <alignment horizontal="centerContinuous"/>
    </xf>
    <xf numFmtId="0" fontId="1" fillId="0" borderId="1" xfId="0" applyFont="1" applyBorder="1" applyAlignment="1">
      <alignment horizontal="justify" vertical="center"/>
    </xf>
    <xf numFmtId="0" fontId="1" fillId="0" borderId="0" xfId="0" applyFont="1" applyAlignment="1">
      <alignment horizontal="center"/>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0" xfId="0" applyFont="1" applyAlignment="1">
      <alignment vertical="center"/>
    </xf>
    <xf numFmtId="9" fontId="1" fillId="0" borderId="0" xfId="1" applyFont="1" applyAlignment="1">
      <alignment horizontal="center" vertical="center"/>
    </xf>
    <xf numFmtId="9" fontId="1" fillId="0" borderId="1" xfId="0" applyNumberFormat="1" applyFont="1" applyBorder="1" applyAlignment="1">
      <alignment horizontal="center" vertical="center"/>
    </xf>
    <xf numFmtId="164" fontId="1" fillId="0" borderId="1" xfId="0" applyNumberFormat="1" applyFont="1" applyBorder="1" applyAlignment="1">
      <alignment horizontal="center" vertical="center"/>
    </xf>
    <xf numFmtId="9" fontId="1" fillId="0" borderId="0" xfId="1" applyFont="1"/>
    <xf numFmtId="0" fontId="9" fillId="9" borderId="0" xfId="3" applyFont="1" applyFill="1"/>
    <xf numFmtId="0" fontId="12" fillId="11" borderId="22" xfId="3" applyFont="1" applyFill="1" applyBorder="1" applyAlignment="1">
      <alignment vertical="center"/>
    </xf>
    <xf numFmtId="0" fontId="1" fillId="0" borderId="0" xfId="0" applyFont="1" applyAlignment="1">
      <alignment horizontal="left" vertical="center"/>
    </xf>
    <xf numFmtId="0" fontId="1" fillId="0" borderId="0" xfId="0" applyFont="1" applyAlignment="1">
      <alignment horizontal="left"/>
    </xf>
    <xf numFmtId="0" fontId="2" fillId="0" borderId="0" xfId="0" applyFont="1"/>
    <xf numFmtId="0" fontId="11" fillId="0" borderId="3" xfId="3" applyFont="1" applyBorder="1" applyAlignment="1">
      <alignment horizontal="center" vertical="center"/>
    </xf>
    <xf numFmtId="0" fontId="1" fillId="9" borderId="0" xfId="0" applyFont="1" applyFill="1"/>
    <xf numFmtId="0" fontId="13" fillId="9" borderId="0" xfId="0" applyFont="1" applyFill="1"/>
    <xf numFmtId="0" fontId="13" fillId="11" borderId="0" xfId="0" applyFont="1" applyFill="1"/>
    <xf numFmtId="0" fontId="10" fillId="9" borderId="0" xfId="0" applyFont="1" applyFill="1"/>
    <xf numFmtId="2" fontId="8" fillId="0" borderId="3" xfId="0" applyNumberFormat="1" applyFont="1" applyBorder="1" applyAlignment="1">
      <alignment horizontal="center" vertical="center"/>
    </xf>
    <xf numFmtId="0" fontId="14" fillId="11" borderId="0" xfId="0" applyFont="1" applyFill="1" applyAlignment="1">
      <alignment horizontal="center" vertical="center" wrapText="1"/>
    </xf>
    <xf numFmtId="0" fontId="5" fillId="11" borderId="0" xfId="0" applyFont="1" applyFill="1" applyAlignment="1">
      <alignment vertical="center" wrapText="1"/>
    </xf>
    <xf numFmtId="0" fontId="14" fillId="11" borderId="0" xfId="0" applyFont="1" applyFill="1" applyAlignment="1">
      <alignment vertical="center" wrapText="1"/>
    </xf>
    <xf numFmtId="0" fontId="11" fillId="0" borderId="1" xfId="3" applyFont="1" applyBorder="1" applyAlignment="1">
      <alignment horizontal="center" vertical="center"/>
    </xf>
    <xf numFmtId="0" fontId="12" fillId="11" borderId="22" xfId="3" applyFont="1" applyFill="1" applyBorder="1" applyAlignment="1">
      <alignment horizontal="center" vertical="center"/>
    </xf>
    <xf numFmtId="0" fontId="15" fillId="9" borderId="0" xfId="0" applyFont="1" applyFill="1"/>
    <xf numFmtId="0" fontId="15" fillId="0" borderId="0" xfId="0" applyFont="1"/>
    <xf numFmtId="0" fontId="9" fillId="9" borderId="7" xfId="3" applyFont="1" applyFill="1" applyBorder="1"/>
    <xf numFmtId="0" fontId="9" fillId="9" borderId="0" xfId="3" applyFont="1" applyFill="1" applyAlignment="1">
      <alignment horizontal="center" vertical="center"/>
    </xf>
    <xf numFmtId="0" fontId="9" fillId="4" borderId="8" xfId="3" applyFont="1" applyFill="1" applyBorder="1"/>
    <xf numFmtId="0" fontId="9" fillId="4" borderId="9" xfId="3" applyFont="1" applyFill="1" applyBorder="1" applyAlignment="1">
      <alignment horizontal="center" vertical="center"/>
    </xf>
    <xf numFmtId="0" fontId="9" fillId="4" borderId="9" xfId="3" applyFont="1" applyFill="1" applyBorder="1"/>
    <xf numFmtId="0" fontId="9" fillId="4" borderId="10" xfId="3" applyFont="1" applyFill="1" applyBorder="1"/>
    <xf numFmtId="0" fontId="6" fillId="5" borderId="12" xfId="3" applyFont="1" applyFill="1" applyBorder="1" applyAlignment="1">
      <alignment horizontal="center" vertical="center" textRotation="90" wrapText="1"/>
    </xf>
    <xf numFmtId="0" fontId="9" fillId="4" borderId="0" xfId="3" applyFont="1" applyFill="1"/>
    <xf numFmtId="0" fontId="9" fillId="4" borderId="13" xfId="3" applyFont="1" applyFill="1" applyBorder="1"/>
    <xf numFmtId="0" fontId="9" fillId="4" borderId="0" xfId="3" applyFont="1" applyFill="1" applyAlignment="1">
      <alignment horizontal="right" vertical="top" wrapText="1"/>
    </xf>
    <xf numFmtId="0" fontId="17" fillId="4" borderId="14" xfId="3" applyFont="1" applyFill="1" applyBorder="1" applyAlignment="1">
      <alignment horizontal="right" vertical="top" wrapText="1"/>
    </xf>
    <xf numFmtId="0" fontId="17" fillId="4" borderId="0" xfId="3" applyFont="1" applyFill="1" applyAlignment="1">
      <alignment horizontal="center" vertical="center" wrapText="1"/>
    </xf>
    <xf numFmtId="0" fontId="17" fillId="4" borderId="0" xfId="3" applyFont="1" applyFill="1" applyAlignment="1">
      <alignment horizontal="right" vertical="top" wrapText="1"/>
    </xf>
    <xf numFmtId="0" fontId="17" fillId="4" borderId="14" xfId="3" applyFont="1" applyFill="1" applyBorder="1" applyAlignment="1">
      <alignment vertical="top" wrapText="1"/>
    </xf>
    <xf numFmtId="0" fontId="17" fillId="4" borderId="0" xfId="3" applyFont="1" applyFill="1" applyAlignment="1">
      <alignment vertical="top" wrapText="1"/>
    </xf>
    <xf numFmtId="0" fontId="19" fillId="12" borderId="17" xfId="3" applyFont="1" applyFill="1" applyBorder="1" applyAlignment="1">
      <alignment horizontal="center" vertical="center" wrapText="1"/>
    </xf>
    <xf numFmtId="0" fontId="19" fillId="3" borderId="17" xfId="3" applyFont="1" applyFill="1" applyBorder="1" applyAlignment="1">
      <alignment horizontal="center" vertical="center" wrapText="1"/>
    </xf>
    <xf numFmtId="0" fontId="19" fillId="13" borderId="17" xfId="3" applyFont="1" applyFill="1" applyBorder="1" applyAlignment="1">
      <alignment horizontal="center" vertical="center" wrapText="1"/>
    </xf>
    <xf numFmtId="0" fontId="19" fillId="2" borderId="17" xfId="3" applyFont="1" applyFill="1" applyBorder="1" applyAlignment="1">
      <alignment horizontal="center" vertical="center" wrapText="1"/>
    </xf>
    <xf numFmtId="0" fontId="19" fillId="14" borderId="17" xfId="3" applyFont="1" applyFill="1" applyBorder="1" applyAlignment="1">
      <alignment horizontal="center" vertical="center" wrapText="1"/>
    </xf>
    <xf numFmtId="0" fontId="20" fillId="0" borderId="1" xfId="2" applyFont="1" applyBorder="1" applyAlignment="1">
      <alignment horizontal="center" vertical="center" wrapText="1"/>
    </xf>
    <xf numFmtId="0" fontId="17" fillId="4" borderId="15" xfId="3" applyFont="1" applyFill="1" applyBorder="1" applyAlignment="1">
      <alignment horizontal="center"/>
    </xf>
    <xf numFmtId="0" fontId="17" fillId="4" borderId="7" xfId="3" applyFont="1" applyFill="1" applyBorder="1" applyAlignment="1">
      <alignment horizontal="center" vertical="center"/>
    </xf>
    <xf numFmtId="0" fontId="17" fillId="4" borderId="7" xfId="3" applyFont="1" applyFill="1" applyBorder="1" applyAlignment="1">
      <alignment horizontal="center"/>
    </xf>
    <xf numFmtId="0" fontId="9" fillId="4" borderId="16" xfId="3" applyFont="1" applyFill="1" applyBorder="1"/>
    <xf numFmtId="0" fontId="21" fillId="9" borderId="0" xfId="0" applyFont="1" applyFill="1"/>
    <xf numFmtId="0" fontId="21" fillId="2" borderId="1" xfId="3" applyFont="1" applyFill="1" applyBorder="1" applyAlignment="1">
      <alignment horizontal="left" vertical="center" wrapText="1"/>
    </xf>
    <xf numFmtId="0" fontId="22" fillId="9" borderId="0" xfId="0" applyFont="1" applyFill="1" applyAlignment="1">
      <alignment horizontal="center"/>
    </xf>
    <xf numFmtId="0" fontId="22" fillId="0" borderId="3" xfId="0" applyFont="1" applyBorder="1" applyAlignment="1">
      <alignment horizontal="center" vertical="center"/>
    </xf>
    <xf numFmtId="0" fontId="21" fillId="7" borderId="3" xfId="3" applyFont="1" applyFill="1" applyBorder="1" applyAlignment="1">
      <alignment horizontal="center" vertical="center" wrapText="1"/>
    </xf>
    <xf numFmtId="0" fontId="21" fillId="8" borderId="1" xfId="3" applyFont="1" applyFill="1" applyBorder="1" applyAlignment="1">
      <alignment horizontal="left" vertical="center" wrapText="1"/>
    </xf>
    <xf numFmtId="0" fontId="22" fillId="0" borderId="1" xfId="0" applyFont="1" applyBorder="1" applyAlignment="1">
      <alignment horizontal="center" vertical="center"/>
    </xf>
    <xf numFmtId="0" fontId="21" fillId="3" borderId="1" xfId="3" applyFont="1" applyFill="1" applyBorder="1" applyAlignment="1">
      <alignment horizontal="center" vertical="center"/>
    </xf>
    <xf numFmtId="0" fontId="21" fillId="3" borderId="1" xfId="3" applyFont="1" applyFill="1" applyBorder="1" applyAlignment="1">
      <alignment horizontal="left" vertical="center"/>
    </xf>
    <xf numFmtId="0" fontId="21" fillId="8" borderId="1" xfId="3" applyFont="1" applyFill="1" applyBorder="1" applyAlignment="1">
      <alignment horizontal="center" vertical="center" wrapText="1"/>
    </xf>
    <xf numFmtId="0" fontId="21" fillId="7" borderId="1" xfId="3" applyFont="1" applyFill="1" applyBorder="1" applyAlignment="1">
      <alignment horizontal="left" vertical="center" wrapText="1"/>
    </xf>
    <xf numFmtId="0" fontId="21" fillId="2" borderId="1" xfId="3" applyFont="1" applyFill="1" applyBorder="1" applyAlignment="1">
      <alignment horizontal="center" vertical="center" wrapText="1"/>
    </xf>
    <xf numFmtId="0" fontId="22" fillId="9" borderId="0" xfId="0" applyFont="1" applyFill="1"/>
    <xf numFmtId="0" fontId="22" fillId="9" borderId="3" xfId="0" applyFont="1" applyFill="1" applyBorder="1" applyAlignment="1">
      <alignment horizontal="center" vertical="center"/>
    </xf>
    <xf numFmtId="0" fontId="22" fillId="9" borderId="25" xfId="0" applyFont="1" applyFill="1" applyBorder="1" applyAlignment="1">
      <alignment horizontal="center"/>
    </xf>
    <xf numFmtId="0" fontId="22" fillId="9" borderId="25" xfId="0" applyFont="1" applyFill="1" applyBorder="1" applyAlignment="1">
      <alignment horizontal="left" vertical="center"/>
    </xf>
    <xf numFmtId="0" fontId="21" fillId="7" borderId="24" xfId="3" applyFont="1" applyFill="1" applyBorder="1" applyAlignment="1">
      <alignment horizontal="center" vertical="center" wrapText="1"/>
    </xf>
    <xf numFmtId="0" fontId="22" fillId="9" borderId="1" xfId="0" applyFont="1" applyFill="1" applyBorder="1" applyAlignment="1">
      <alignment horizontal="center" vertical="center"/>
    </xf>
    <xf numFmtId="0" fontId="21" fillId="3" borderId="19" xfId="3" applyFont="1" applyFill="1" applyBorder="1" applyAlignment="1">
      <alignment horizontal="center" vertical="center"/>
    </xf>
    <xf numFmtId="0" fontId="21" fillId="8" borderId="19" xfId="3" applyFont="1" applyFill="1" applyBorder="1" applyAlignment="1">
      <alignment horizontal="center" vertical="center" wrapText="1"/>
    </xf>
    <xf numFmtId="0" fontId="21" fillId="2" borderId="19" xfId="3" applyFont="1" applyFill="1" applyBorder="1" applyAlignment="1">
      <alignment horizontal="center" vertical="center" wrapText="1"/>
    </xf>
    <xf numFmtId="0" fontId="5" fillId="11" borderId="2" xfId="0" applyFont="1" applyFill="1" applyBorder="1" applyAlignment="1">
      <alignment horizontal="center" vertical="center" wrapText="1"/>
    </xf>
    <xf numFmtId="0" fontId="14" fillId="11" borderId="2" xfId="0" applyFont="1" applyFill="1" applyBorder="1" applyAlignment="1">
      <alignment horizontal="center" vertical="center" wrapText="1"/>
    </xf>
    <xf numFmtId="0" fontId="23" fillId="11" borderId="2"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xf>
    <xf numFmtId="0" fontId="18" fillId="3" borderId="1" xfId="4" applyFont="1" applyFill="1" applyBorder="1" applyAlignment="1">
      <alignment horizontal="center" vertical="center" wrapText="1"/>
    </xf>
    <xf numFmtId="0" fontId="18" fillId="6" borderId="1" xfId="4" applyFont="1" applyFill="1" applyBorder="1" applyAlignment="1">
      <alignment horizontal="center" vertical="center" wrapText="1"/>
    </xf>
    <xf numFmtId="0" fontId="18" fillId="2" borderId="1" xfId="4" applyFont="1" applyFill="1" applyBorder="1" applyAlignment="1">
      <alignment horizontal="center" vertical="center" wrapText="1"/>
    </xf>
    <xf numFmtId="0" fontId="18" fillId="7" borderId="1" xfId="4" applyFont="1" applyFill="1" applyBorder="1" applyAlignment="1">
      <alignment horizontal="center" vertical="center" wrapText="1"/>
    </xf>
    <xf numFmtId="0" fontId="12" fillId="11" borderId="22" xfId="3" applyFont="1" applyFill="1" applyBorder="1" applyAlignment="1">
      <alignment vertical="center" wrapText="1"/>
    </xf>
    <xf numFmtId="0" fontId="12" fillId="11" borderId="26" xfId="3" applyFont="1" applyFill="1" applyBorder="1" applyAlignment="1">
      <alignment horizontal="center" vertical="center" wrapText="1"/>
    </xf>
    <xf numFmtId="0" fontId="12" fillId="11" borderId="22" xfId="3" applyFont="1" applyFill="1" applyBorder="1" applyAlignment="1">
      <alignment horizontal="center" vertical="center" wrapText="1"/>
    </xf>
    <xf numFmtId="0" fontId="13" fillId="11" borderId="0" xfId="0" applyFont="1" applyFill="1" applyAlignment="1">
      <alignment horizontal="center"/>
    </xf>
    <xf numFmtId="0" fontId="1" fillId="0" borderId="0" xfId="0" applyFont="1" applyAlignment="1">
      <alignment horizontal="left" wrapText="1"/>
    </xf>
    <xf numFmtId="0" fontId="5" fillId="11" borderId="0" xfId="0" applyFont="1" applyFill="1" applyAlignment="1">
      <alignment horizontal="center" vertical="center" wrapText="1"/>
    </xf>
    <xf numFmtId="0" fontId="13" fillId="11" borderId="0" xfId="0" applyFont="1" applyFill="1" applyAlignment="1">
      <alignment horizontal="left"/>
    </xf>
    <xf numFmtId="0" fontId="14" fillId="11" borderId="0" xfId="0" applyFont="1" applyFill="1" applyAlignment="1">
      <alignment horizontal="left" vertical="center" wrapText="1"/>
    </xf>
    <xf numFmtId="0" fontId="25" fillId="0" borderId="1" xfId="0" applyFont="1" applyBorder="1" applyAlignment="1">
      <alignment horizontal="left" vertical="center" wrapText="1"/>
    </xf>
    <xf numFmtId="49" fontId="25" fillId="0" borderId="1" xfId="0" applyNumberFormat="1" applyFont="1" applyBorder="1" applyAlignment="1">
      <alignment horizontal="left" vertical="center" wrapText="1"/>
    </xf>
    <xf numFmtId="0" fontId="25" fillId="0" borderId="1" xfId="0" applyFont="1" applyBorder="1" applyAlignment="1">
      <alignment horizontal="center" vertical="center"/>
    </xf>
    <xf numFmtId="0" fontId="25" fillId="0" borderId="3" xfId="0" applyFont="1" applyBorder="1" applyAlignment="1">
      <alignment horizontal="center" vertical="center"/>
    </xf>
    <xf numFmtId="0" fontId="25" fillId="3" borderId="18" xfId="0" applyFont="1" applyFill="1" applyBorder="1" applyAlignment="1">
      <alignment horizontal="center" vertical="center"/>
    </xf>
    <xf numFmtId="0" fontId="25" fillId="0" borderId="1" xfId="0" applyFont="1" applyBorder="1" applyAlignment="1">
      <alignment horizontal="left" vertical="center"/>
    </xf>
    <xf numFmtId="0" fontId="25" fillId="0" borderId="1" xfId="0" applyFont="1" applyBorder="1" applyAlignment="1">
      <alignment horizontal="justify" vertical="center" wrapText="1"/>
    </xf>
    <xf numFmtId="1" fontId="25" fillId="0" borderId="1" xfId="0" applyNumberFormat="1" applyFont="1" applyBorder="1" applyAlignment="1">
      <alignment horizontal="center" vertical="center"/>
    </xf>
    <xf numFmtId="0" fontId="29" fillId="0" borderId="1" xfId="0" applyFont="1" applyBorder="1"/>
    <xf numFmtId="0" fontId="25" fillId="0" borderId="19" xfId="0" applyFont="1" applyBorder="1" applyAlignment="1">
      <alignment horizontal="center" vertical="center"/>
    </xf>
    <xf numFmtId="9" fontId="25" fillId="0" borderId="3" xfId="1" applyFont="1" applyFill="1" applyBorder="1" applyAlignment="1" applyProtection="1">
      <alignment horizontal="center" vertical="center" wrapText="1"/>
      <protection locked="0"/>
    </xf>
    <xf numFmtId="0" fontId="25" fillId="9" borderId="1" xfId="0" applyFont="1" applyFill="1" applyBorder="1"/>
    <xf numFmtId="0" fontId="25" fillId="0" borderId="1" xfId="0" applyFont="1" applyBorder="1" applyAlignment="1">
      <alignment horizontal="center" vertical="center" wrapText="1"/>
    </xf>
    <xf numFmtId="0" fontId="25" fillId="0" borderId="2" xfId="0" applyFont="1" applyBorder="1" applyAlignment="1">
      <alignment horizontal="center" vertical="center"/>
    </xf>
    <xf numFmtId="0" fontId="25" fillId="0" borderId="31" xfId="0" applyFont="1" applyBorder="1" applyAlignment="1">
      <alignment horizontal="center" vertical="center"/>
    </xf>
    <xf numFmtId="0" fontId="29" fillId="0" borderId="18" xfId="0" applyFont="1" applyBorder="1"/>
    <xf numFmtId="0" fontId="25" fillId="0" borderId="30" xfId="0" applyFont="1" applyBorder="1" applyAlignment="1">
      <alignment horizontal="center" vertical="center"/>
    </xf>
    <xf numFmtId="0" fontId="25" fillId="0" borderId="32" xfId="0" applyFont="1" applyBorder="1" applyAlignment="1">
      <alignment horizontal="center" vertical="center"/>
    </xf>
    <xf numFmtId="9" fontId="25" fillId="0" borderId="24" xfId="1" applyFont="1" applyFill="1" applyBorder="1" applyAlignment="1" applyProtection="1">
      <alignment horizontal="center" vertical="center" wrapText="1"/>
      <protection locked="0"/>
    </xf>
    <xf numFmtId="0" fontId="25" fillId="0" borderId="24" xfId="0" applyFont="1" applyBorder="1" applyAlignment="1">
      <alignment horizontal="center" vertical="center"/>
    </xf>
    <xf numFmtId="0" fontId="2" fillId="3" borderId="0" xfId="0" applyFont="1" applyFill="1" applyAlignment="1">
      <alignment vertical="center"/>
    </xf>
    <xf numFmtId="0" fontId="2" fillId="3" borderId="0" xfId="0" applyFont="1" applyFill="1" applyAlignment="1">
      <alignment horizontal="center" vertical="center"/>
    </xf>
    <xf numFmtId="0" fontId="25" fillId="0" borderId="0" xfId="0" applyFont="1" applyAlignment="1">
      <alignment horizontal="left" vertical="center" wrapText="1"/>
    </xf>
    <xf numFmtId="0" fontId="1" fillId="0" borderId="2" xfId="0" applyFont="1" applyBorder="1" applyAlignment="1">
      <alignment horizontal="justify" vertical="center"/>
    </xf>
    <xf numFmtId="0" fontId="1" fillId="0" borderId="0" xfId="0" applyFont="1" applyAlignment="1">
      <alignment horizontal="justify" vertical="center"/>
    </xf>
    <xf numFmtId="2" fontId="8" fillId="0" borderId="0" xfId="0" applyNumberFormat="1" applyFont="1" applyAlignment="1">
      <alignment horizontal="center" vertical="center"/>
    </xf>
    <xf numFmtId="0" fontId="4" fillId="0" borderId="0" xfId="0" applyFont="1"/>
    <xf numFmtId="0" fontId="3" fillId="0" borderId="0" xfId="0" applyFont="1"/>
    <xf numFmtId="0" fontId="1" fillId="0" borderId="1" xfId="0" applyFont="1" applyBorder="1"/>
    <xf numFmtId="0" fontId="25" fillId="0" borderId="33" xfId="0" applyFont="1" applyBorder="1" applyAlignment="1">
      <alignment horizontal="left" vertical="center" wrapText="1"/>
    </xf>
    <xf numFmtId="0" fontId="1" fillId="0" borderId="2" xfId="0" applyFont="1" applyBorder="1" applyAlignment="1">
      <alignment horizontal="center" vertical="center"/>
    </xf>
    <xf numFmtId="0" fontId="25" fillId="0" borderId="2" xfId="0" applyFont="1" applyBorder="1" applyAlignment="1">
      <alignment horizontal="left" vertical="center" wrapText="1"/>
    </xf>
    <xf numFmtId="0" fontId="1" fillId="0" borderId="2" xfId="0" applyFont="1" applyBorder="1" applyAlignment="1">
      <alignment horizontal="center" vertical="center" wrapText="1"/>
    </xf>
    <xf numFmtId="164" fontId="1" fillId="0" borderId="2" xfId="0" applyNumberFormat="1" applyFont="1" applyBorder="1" applyAlignment="1">
      <alignment horizontal="center" vertical="center"/>
    </xf>
    <xf numFmtId="2" fontId="8" fillId="0" borderId="34" xfId="0" applyNumberFormat="1" applyFont="1" applyBorder="1" applyAlignment="1">
      <alignment horizontal="center" vertical="center"/>
    </xf>
    <xf numFmtId="0" fontId="1" fillId="0" borderId="35" xfId="0" applyFont="1" applyBorder="1"/>
    <xf numFmtId="0" fontId="1" fillId="0" borderId="35" xfId="0" applyFont="1" applyBorder="1" applyAlignment="1">
      <alignment horizontal="justify" vertical="center"/>
    </xf>
    <xf numFmtId="2" fontId="8" fillId="0" borderId="35" xfId="0" applyNumberFormat="1" applyFont="1" applyBorder="1" applyAlignment="1">
      <alignment horizontal="center" vertical="center"/>
    </xf>
    <xf numFmtId="0" fontId="1" fillId="0" borderId="1" xfId="0" applyFont="1" applyBorder="1" applyAlignment="1">
      <alignment vertical="center" wrapText="1"/>
    </xf>
    <xf numFmtId="0" fontId="14" fillId="11" borderId="0" xfId="0" applyFont="1" applyFill="1" applyAlignment="1">
      <alignment horizontal="center"/>
    </xf>
    <xf numFmtId="0" fontId="2" fillId="0" borderId="0" xfId="0" applyFont="1" applyAlignment="1">
      <alignment horizontal="left" vertical="center"/>
    </xf>
    <xf numFmtId="0" fontId="2" fillId="0" borderId="0" xfId="0" applyFont="1" applyAlignment="1">
      <alignment horizontal="center"/>
    </xf>
    <xf numFmtId="0" fontId="16" fillId="10" borderId="4" xfId="3" applyFont="1" applyFill="1" applyBorder="1" applyAlignment="1">
      <alignment horizontal="center" vertical="center"/>
    </xf>
    <xf numFmtId="0" fontId="16" fillId="10" borderId="5" xfId="3" applyFont="1" applyFill="1" applyBorder="1" applyAlignment="1">
      <alignment horizontal="center" vertical="center"/>
    </xf>
    <xf numFmtId="0" fontId="16" fillId="10" borderId="6" xfId="3" applyFont="1" applyFill="1" applyBorder="1" applyAlignment="1">
      <alignment horizontal="center" vertical="center"/>
    </xf>
    <xf numFmtId="0" fontId="17" fillId="4" borderId="11" xfId="3" applyFont="1" applyFill="1" applyBorder="1" applyAlignment="1">
      <alignment horizontal="center" vertical="center" textRotation="90" wrapText="1"/>
    </xf>
    <xf numFmtId="0" fontId="17" fillId="4" borderId="29" xfId="3" applyFont="1" applyFill="1" applyBorder="1" applyAlignment="1">
      <alignment horizontal="center" vertical="center" wrapText="1"/>
    </xf>
    <xf numFmtId="0" fontId="17" fillId="4" borderId="7" xfId="3" applyFont="1" applyFill="1" applyBorder="1" applyAlignment="1">
      <alignment horizontal="center" vertical="center" wrapText="1"/>
    </xf>
    <xf numFmtId="0" fontId="11" fillId="0" borderId="1" xfId="3" applyFont="1" applyBorder="1" applyAlignment="1">
      <alignment horizontal="center" vertical="center"/>
    </xf>
    <xf numFmtId="0" fontId="12" fillId="11" borderId="22" xfId="3" applyFont="1" applyFill="1" applyBorder="1" applyAlignment="1">
      <alignment horizontal="center" vertical="center"/>
    </xf>
    <xf numFmtId="0" fontId="22" fillId="0" borderId="23" xfId="0" applyFont="1" applyBorder="1" applyAlignment="1">
      <alignment horizontal="justify"/>
    </xf>
    <xf numFmtId="0" fontId="22" fillId="0" borderId="20" xfId="0" applyFont="1" applyBorder="1" applyAlignment="1">
      <alignment horizontal="justify"/>
    </xf>
    <xf numFmtId="0" fontId="22" fillId="0" borderId="24" xfId="0" applyFont="1" applyBorder="1" applyAlignment="1">
      <alignment horizontal="justify"/>
    </xf>
    <xf numFmtId="0" fontId="22" fillId="0" borderId="18" xfId="0" applyFont="1" applyBorder="1" applyAlignment="1">
      <alignment horizontal="justify"/>
    </xf>
    <xf numFmtId="0" fontId="22" fillId="0" borderId="21" xfId="0" applyFont="1" applyBorder="1" applyAlignment="1">
      <alignment horizontal="justify"/>
    </xf>
    <xf numFmtId="0" fontId="22" fillId="0" borderId="19" xfId="0" applyFont="1" applyBorder="1" applyAlignment="1">
      <alignment horizontal="justify"/>
    </xf>
    <xf numFmtId="0" fontId="22" fillId="0" borderId="18" xfId="0" applyFont="1" applyBorder="1" applyAlignment="1">
      <alignment horizontal="justify" wrapText="1"/>
    </xf>
    <xf numFmtId="0" fontId="22" fillId="0" borderId="1" xfId="0" applyFont="1" applyBorder="1" applyAlignment="1">
      <alignment horizontal="center" vertical="top" wrapText="1"/>
    </xf>
    <xf numFmtId="0" fontId="12" fillId="11" borderId="1" xfId="3" applyFont="1" applyFill="1" applyBorder="1" applyAlignment="1">
      <alignment horizontal="center" vertical="center"/>
    </xf>
    <xf numFmtId="0" fontId="22" fillId="0" borderId="3" xfId="0" applyFont="1" applyBorder="1" applyAlignment="1">
      <alignment horizontal="center" vertical="top" wrapText="1"/>
    </xf>
    <xf numFmtId="0" fontId="11" fillId="0" borderId="27" xfId="3" applyFont="1" applyBorder="1" applyAlignment="1">
      <alignment horizontal="left" vertical="center"/>
    </xf>
    <xf numFmtId="0" fontId="11" fillId="0" borderId="28" xfId="3" applyFont="1" applyBorder="1" applyAlignment="1">
      <alignment horizontal="left" vertical="center"/>
    </xf>
    <xf numFmtId="0" fontId="11" fillId="0" borderId="18" xfId="3" applyFont="1" applyBorder="1" applyAlignment="1">
      <alignment horizontal="left" vertical="center"/>
    </xf>
    <xf numFmtId="0" fontId="11" fillId="0" borderId="19" xfId="3" applyFont="1" applyBorder="1" applyAlignment="1">
      <alignment horizontal="left" vertical="center"/>
    </xf>
  </cellXfs>
  <cellStyles count="5">
    <cellStyle name="%" xfId="2" xr:uid="{00000000-0005-0000-0000-000000000000}"/>
    <cellStyle name="Normal" xfId="0" builtinId="0"/>
    <cellStyle name="Normal 2" xfId="3" xr:uid="{00000000-0005-0000-0000-000002000000}"/>
    <cellStyle name="Normal_HR Risk Cartography" xfId="4" xr:uid="{00000000-0005-0000-0000-000003000000}"/>
    <cellStyle name="Porcentaje" xfId="1" builtinId="5"/>
  </cellStyles>
  <dxfs count="12">
    <dxf>
      <fill>
        <patternFill>
          <bgColor rgb="FF008000"/>
        </patternFill>
      </fill>
    </dxf>
    <dxf>
      <fill>
        <patternFill>
          <bgColor rgb="FFFFFF00"/>
        </patternFill>
      </fill>
    </dxf>
    <dxf>
      <fill>
        <patternFill>
          <bgColor rgb="FFFFC000"/>
        </patternFill>
      </fill>
    </dxf>
    <dxf>
      <fill>
        <patternFill>
          <bgColor rgb="FFCC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8000"/>
        </patternFill>
      </fill>
    </dxf>
    <dxf>
      <fill>
        <patternFill>
          <bgColor rgb="FFFFFF00"/>
        </patternFill>
      </fill>
    </dxf>
    <dxf>
      <fill>
        <patternFill>
          <bgColor rgb="FFFFC000"/>
        </patternFill>
      </fill>
    </dxf>
    <dxf>
      <fill>
        <patternFill>
          <bgColor rgb="FFFF0000"/>
        </patternFill>
      </fill>
    </dxf>
  </dxfs>
  <tableStyles count="0" defaultTableStyle="TableStyleMedium9" defaultPivotStyle="PivotStyleLight16"/>
  <colors>
    <mruColors>
      <color rgb="FF339966"/>
      <color rgb="FFFFFF99"/>
      <color rgb="FFFF6600"/>
      <color rgb="FF339933"/>
      <color rgb="FFFF9900"/>
      <color rgb="FF33CC33"/>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lizma/OneDrive/Documentos/2019%2006%20Consolidado%20de%20Riesgos%20Aprobad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7"/>
      <sheetName val="Depuración"/>
      <sheetName val="RESUMEN"/>
      <sheetName val="Matriz de Riesgos"/>
      <sheetName val="Mapa de Riesgos"/>
      <sheetName val="Depuración RO"/>
      <sheetName val="Perfil de Riesgos"/>
      <sheetName val=" Radar de Riesgos"/>
      <sheetName val="Perfil por P&amp;S"/>
      <sheetName val="Listas"/>
      <sheetName val="Seguros"/>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sheetData sheetId="1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4"/>
  <sheetViews>
    <sheetView showGridLines="0" tabSelected="1" zoomScale="74" zoomScaleNormal="85" workbookViewId="0">
      <selection activeCell="A3" sqref="A3"/>
    </sheetView>
  </sheetViews>
  <sheetFormatPr baseColWidth="10" defaultColWidth="11.42578125" defaultRowHeight="15" x14ac:dyDescent="0.25"/>
  <cols>
    <col min="1" max="1" width="7.42578125" style="5" customWidth="1"/>
    <col min="2" max="2" width="9.85546875" style="5" customWidth="1"/>
    <col min="3" max="3" width="25.7109375" style="5" customWidth="1"/>
    <col min="4" max="4" width="11.140625" style="5" customWidth="1"/>
    <col min="5" max="5" width="45.42578125" style="15" customWidth="1"/>
    <col min="6" max="6" width="59.42578125" style="1" customWidth="1"/>
    <col min="7" max="7" width="82.28515625" style="15" customWidth="1"/>
    <col min="8" max="9" width="8" style="1" customWidth="1"/>
    <col min="10" max="10" width="11" style="1" customWidth="1"/>
    <col min="11" max="11" width="15.85546875" style="1" customWidth="1"/>
    <col min="12" max="12" width="3.42578125" hidden="1" customWidth="1"/>
    <col min="13" max="13" width="58.7109375" style="16" customWidth="1"/>
    <col min="14" max="14" width="53" style="1" customWidth="1"/>
    <col min="15" max="15" width="11.140625" style="1" customWidth="1"/>
    <col min="16" max="16" width="10.140625" style="1" customWidth="1"/>
    <col min="17" max="17" width="11.7109375" style="9" customWidth="1"/>
    <col min="18" max="16384" width="11.42578125" style="19"/>
  </cols>
  <sheetData>
    <row r="1" spans="1:17" x14ac:dyDescent="0.25">
      <c r="A1" s="114" t="s">
        <v>0</v>
      </c>
      <c r="B1" s="114"/>
      <c r="C1" s="115"/>
      <c r="D1" s="115"/>
      <c r="E1" s="81"/>
      <c r="F1" s="2"/>
      <c r="H1" s="4"/>
      <c r="I1" s="4"/>
      <c r="J1" s="2"/>
      <c r="K1" s="2"/>
      <c r="N1" s="2"/>
      <c r="O1" s="2"/>
      <c r="P1" s="2"/>
    </row>
    <row r="2" spans="1:17" x14ac:dyDescent="0.25">
      <c r="A2" s="8" t="s">
        <v>1</v>
      </c>
      <c r="B2" s="8"/>
      <c r="C2" s="8"/>
      <c r="D2" s="80"/>
      <c r="E2" s="81"/>
      <c r="F2" s="2"/>
      <c r="H2" s="4"/>
      <c r="I2" s="4"/>
      <c r="J2" s="2"/>
      <c r="K2" s="2"/>
      <c r="N2" s="2"/>
      <c r="O2" s="2"/>
      <c r="P2" s="2"/>
    </row>
    <row r="3" spans="1:17" x14ac:dyDescent="0.25">
      <c r="A3" s="8" t="s">
        <v>190</v>
      </c>
      <c r="B3" s="8"/>
      <c r="C3" s="8"/>
      <c r="D3" s="8"/>
      <c r="E3" s="81"/>
      <c r="F3" s="2"/>
      <c r="H3" s="4"/>
      <c r="I3" s="4"/>
      <c r="J3" s="2"/>
      <c r="K3" s="2"/>
      <c r="N3" s="2"/>
      <c r="O3" s="2"/>
      <c r="P3" s="2"/>
    </row>
    <row r="4" spans="1:17" ht="13.5" customHeight="1" x14ac:dyDescent="0.25">
      <c r="A4" s="134"/>
      <c r="B4" s="134"/>
      <c r="C4" s="134"/>
      <c r="D4" s="134"/>
      <c r="E4" s="134"/>
      <c r="F4" s="134"/>
      <c r="H4" s="1" t="s">
        <v>166</v>
      </c>
    </row>
    <row r="5" spans="1:17" s="20" customFormat="1" ht="12.75" customHeight="1" x14ac:dyDescent="0.2">
      <c r="A5" s="26"/>
      <c r="B5" s="25"/>
      <c r="C5" s="89"/>
      <c r="D5" s="89"/>
      <c r="E5" s="92"/>
      <c r="F5" s="21"/>
      <c r="G5" s="25"/>
      <c r="H5" s="133" t="s">
        <v>2</v>
      </c>
      <c r="I5" s="133"/>
      <c r="J5" s="21"/>
      <c r="K5" s="21"/>
      <c r="M5" s="92"/>
      <c r="N5" s="21"/>
      <c r="O5" s="133" t="s">
        <v>3</v>
      </c>
      <c r="P5" s="133"/>
      <c r="Q5" s="25"/>
    </row>
    <row r="6" spans="1:17" s="20" customFormat="1" ht="36.75" customHeight="1" x14ac:dyDescent="0.2">
      <c r="A6" s="24" t="s">
        <v>4</v>
      </c>
      <c r="B6" s="25" t="s">
        <v>5</v>
      </c>
      <c r="C6" s="91" t="s">
        <v>6</v>
      </c>
      <c r="D6" s="24" t="s">
        <v>7</v>
      </c>
      <c r="E6" s="93" t="s">
        <v>8</v>
      </c>
      <c r="F6" s="26" t="s">
        <v>9</v>
      </c>
      <c r="G6" s="25" t="s">
        <v>10</v>
      </c>
      <c r="H6" s="24" t="s">
        <v>11</v>
      </c>
      <c r="I6" s="24" t="s">
        <v>12</v>
      </c>
      <c r="J6" s="25" t="s">
        <v>13</v>
      </c>
      <c r="K6" s="25" t="s">
        <v>14</v>
      </c>
      <c r="M6" s="93" t="s">
        <v>15</v>
      </c>
      <c r="N6" s="26" t="s">
        <v>16</v>
      </c>
      <c r="O6" s="24" t="s">
        <v>17</v>
      </c>
      <c r="P6" s="24" t="s">
        <v>18</v>
      </c>
      <c r="Q6" s="25" t="s">
        <v>19</v>
      </c>
    </row>
    <row r="7" spans="1:17" ht="87.75" customHeight="1" x14ac:dyDescent="0.25">
      <c r="A7" s="96">
        <v>1</v>
      </c>
      <c r="B7" s="97" t="s">
        <v>20</v>
      </c>
      <c r="C7" s="98" t="s">
        <v>21</v>
      </c>
      <c r="D7" s="96" t="s">
        <v>22</v>
      </c>
      <c r="E7" s="99" t="s">
        <v>23</v>
      </c>
      <c r="F7" s="94" t="s">
        <v>24</v>
      </c>
      <c r="G7" s="95" t="s">
        <v>25</v>
      </c>
      <c r="H7" s="96">
        <v>4</v>
      </c>
      <c r="I7" s="96">
        <v>4</v>
      </c>
      <c r="J7" s="101">
        <f>+H7*I7</f>
        <v>16</v>
      </c>
      <c r="K7" s="96" t="str">
        <f t="shared" ref="K7:K16" si="0">IF(J7&lt;2.9,"Bajo",IF(J7&lt;5.9,"Moderado",IF(J7&lt;9.9,"Medio","Alto")))</f>
        <v>Alto</v>
      </c>
      <c r="L7" s="102"/>
      <c r="M7" s="94" t="s">
        <v>26</v>
      </c>
      <c r="N7" s="100" t="s">
        <v>27</v>
      </c>
      <c r="O7" s="96" t="s">
        <v>164</v>
      </c>
      <c r="P7" s="103" t="s">
        <v>29</v>
      </c>
      <c r="Q7" s="104">
        <v>1</v>
      </c>
    </row>
    <row r="8" spans="1:17" ht="79.5" customHeight="1" x14ac:dyDescent="0.2">
      <c r="A8" s="96">
        <v>2</v>
      </c>
      <c r="B8" s="96" t="s">
        <v>30</v>
      </c>
      <c r="C8" s="98" t="s">
        <v>109</v>
      </c>
      <c r="D8" s="96" t="s">
        <v>22</v>
      </c>
      <c r="E8" s="99" t="s">
        <v>110</v>
      </c>
      <c r="F8" s="94" t="s">
        <v>111</v>
      </c>
      <c r="G8" s="95" t="s">
        <v>112</v>
      </c>
      <c r="H8" s="96">
        <v>3</v>
      </c>
      <c r="I8" s="96">
        <v>4</v>
      </c>
      <c r="J8" s="101">
        <f t="shared" ref="J8:J16" si="1">+H8*I8</f>
        <v>12</v>
      </c>
      <c r="K8" s="96" t="str">
        <f t="shared" si="0"/>
        <v>Alto</v>
      </c>
      <c r="L8" s="105"/>
      <c r="M8" s="94" t="s">
        <v>113</v>
      </c>
      <c r="N8" s="94" t="s">
        <v>154</v>
      </c>
      <c r="O8" s="96" t="s">
        <v>164</v>
      </c>
      <c r="P8" s="103" t="s">
        <v>165</v>
      </c>
      <c r="Q8" s="104">
        <v>1</v>
      </c>
    </row>
    <row r="9" spans="1:17" ht="56.1" customHeight="1" x14ac:dyDescent="0.25">
      <c r="A9" s="96">
        <v>3</v>
      </c>
      <c r="B9" s="96" t="s">
        <v>31</v>
      </c>
      <c r="C9" s="98" t="s">
        <v>114</v>
      </c>
      <c r="D9" s="96" t="s">
        <v>22</v>
      </c>
      <c r="E9" s="94" t="s">
        <v>115</v>
      </c>
      <c r="F9" s="94" t="s">
        <v>116</v>
      </c>
      <c r="G9" s="95" t="s">
        <v>117</v>
      </c>
      <c r="H9" s="96">
        <v>3</v>
      </c>
      <c r="I9" s="96">
        <v>3</v>
      </c>
      <c r="J9" s="101">
        <f t="shared" si="1"/>
        <v>9</v>
      </c>
      <c r="K9" s="96" t="str">
        <f t="shared" si="0"/>
        <v>Medio</v>
      </c>
      <c r="L9" s="102"/>
      <c r="M9" s="94" t="s">
        <v>118</v>
      </c>
      <c r="N9" s="94" t="s">
        <v>155</v>
      </c>
      <c r="O9" s="96" t="s">
        <v>164</v>
      </c>
      <c r="P9" s="103" t="s">
        <v>29</v>
      </c>
      <c r="Q9" s="104">
        <v>1</v>
      </c>
    </row>
    <row r="10" spans="1:17" ht="56.1" customHeight="1" x14ac:dyDescent="0.25">
      <c r="A10" s="96">
        <v>4</v>
      </c>
      <c r="B10" s="96" t="s">
        <v>32</v>
      </c>
      <c r="C10" s="98" t="s">
        <v>119</v>
      </c>
      <c r="D10" s="96" t="s">
        <v>22</v>
      </c>
      <c r="E10" s="94" t="s">
        <v>120</v>
      </c>
      <c r="F10" s="94" t="s">
        <v>121</v>
      </c>
      <c r="G10" s="95" t="s">
        <v>122</v>
      </c>
      <c r="H10" s="96">
        <v>3</v>
      </c>
      <c r="I10" s="96">
        <v>4</v>
      </c>
      <c r="J10" s="101">
        <f t="shared" si="1"/>
        <v>12</v>
      </c>
      <c r="K10" s="96" t="str">
        <f t="shared" si="0"/>
        <v>Alto</v>
      </c>
      <c r="L10" s="102"/>
      <c r="M10" s="94" t="s">
        <v>123</v>
      </c>
      <c r="N10" s="94" t="s">
        <v>156</v>
      </c>
      <c r="O10" s="96" t="s">
        <v>164</v>
      </c>
      <c r="P10" s="103" t="s">
        <v>29</v>
      </c>
      <c r="Q10" s="104">
        <v>1</v>
      </c>
    </row>
    <row r="11" spans="1:17" s="22" customFormat="1" ht="59.1" customHeight="1" x14ac:dyDescent="0.25">
      <c r="A11" s="96">
        <v>5</v>
      </c>
      <c r="B11" s="96" t="s">
        <v>33</v>
      </c>
      <c r="C11" s="98" t="s">
        <v>124</v>
      </c>
      <c r="D11" s="96" t="s">
        <v>22</v>
      </c>
      <c r="E11" s="94" t="s">
        <v>125</v>
      </c>
      <c r="F11" s="94" t="s">
        <v>126</v>
      </c>
      <c r="G11" s="95" t="s">
        <v>127</v>
      </c>
      <c r="H11" s="96" t="s">
        <v>163</v>
      </c>
      <c r="I11" s="96">
        <v>3</v>
      </c>
      <c r="J11" s="101">
        <f t="shared" si="1"/>
        <v>12</v>
      </c>
      <c r="K11" s="96" t="str">
        <f t="shared" si="0"/>
        <v>Alto</v>
      </c>
      <c r="L11" s="102"/>
      <c r="M11" s="94" t="s">
        <v>128</v>
      </c>
      <c r="N11" s="94" t="s">
        <v>157</v>
      </c>
      <c r="O11" s="96" t="s">
        <v>28</v>
      </c>
      <c r="P11" s="103" t="s">
        <v>29</v>
      </c>
      <c r="Q11" s="104">
        <v>1</v>
      </c>
    </row>
    <row r="12" spans="1:17" s="22" customFormat="1" ht="75" customHeight="1" x14ac:dyDescent="0.25">
      <c r="A12" s="96">
        <v>6</v>
      </c>
      <c r="B12" s="96" t="s">
        <v>34</v>
      </c>
      <c r="C12" s="98" t="s">
        <v>129</v>
      </c>
      <c r="D12" s="96" t="s">
        <v>22</v>
      </c>
      <c r="E12" s="116" t="s">
        <v>130</v>
      </c>
      <c r="F12" s="94" t="s">
        <v>131</v>
      </c>
      <c r="G12" s="95" t="s">
        <v>132</v>
      </c>
      <c r="H12" s="96">
        <v>3</v>
      </c>
      <c r="I12" s="96">
        <v>4</v>
      </c>
      <c r="J12" s="101">
        <f t="shared" si="1"/>
        <v>12</v>
      </c>
      <c r="K12" s="96" t="str">
        <f t="shared" si="0"/>
        <v>Alto</v>
      </c>
      <c r="L12" s="102"/>
      <c r="M12" s="94" t="s">
        <v>133</v>
      </c>
      <c r="N12" s="94" t="s">
        <v>158</v>
      </c>
      <c r="O12" s="96" t="s">
        <v>28</v>
      </c>
      <c r="P12" s="103" t="s">
        <v>29</v>
      </c>
      <c r="Q12" s="104">
        <v>1</v>
      </c>
    </row>
    <row r="13" spans="1:17" ht="75" customHeight="1" x14ac:dyDescent="0.25">
      <c r="A13" s="96">
        <v>7</v>
      </c>
      <c r="B13" s="96" t="s">
        <v>35</v>
      </c>
      <c r="C13" s="98" t="s">
        <v>134</v>
      </c>
      <c r="D13" s="106" t="s">
        <v>22</v>
      </c>
      <c r="E13" s="94" t="s">
        <v>135</v>
      </c>
      <c r="F13" s="94" t="s">
        <v>136</v>
      </c>
      <c r="G13" s="94" t="s">
        <v>137</v>
      </c>
      <c r="H13" s="96">
        <v>3</v>
      </c>
      <c r="I13" s="96">
        <v>4</v>
      </c>
      <c r="J13" s="101">
        <f t="shared" si="1"/>
        <v>12</v>
      </c>
      <c r="K13" s="96" t="str">
        <f t="shared" si="0"/>
        <v>Alto</v>
      </c>
      <c r="L13" s="102"/>
      <c r="M13" s="94" t="s">
        <v>138</v>
      </c>
      <c r="N13" s="94" t="s">
        <v>159</v>
      </c>
      <c r="O13" s="96" t="s">
        <v>164</v>
      </c>
      <c r="P13" s="103" t="s">
        <v>29</v>
      </c>
      <c r="Q13" s="104">
        <v>1</v>
      </c>
    </row>
    <row r="14" spans="1:17" ht="75" customHeight="1" x14ac:dyDescent="0.25">
      <c r="A14" s="96">
        <v>8</v>
      </c>
      <c r="B14" s="96" t="s">
        <v>37</v>
      </c>
      <c r="C14" s="98" t="s">
        <v>139</v>
      </c>
      <c r="D14" s="106" t="s">
        <v>22</v>
      </c>
      <c r="E14" s="94" t="s">
        <v>140</v>
      </c>
      <c r="F14" s="94" t="s">
        <v>141</v>
      </c>
      <c r="G14" s="125" t="s">
        <v>142</v>
      </c>
      <c r="H14" s="96">
        <v>3</v>
      </c>
      <c r="I14" s="96">
        <v>3</v>
      </c>
      <c r="J14" s="101">
        <f t="shared" si="1"/>
        <v>9</v>
      </c>
      <c r="K14" s="96" t="str">
        <f t="shared" si="0"/>
        <v>Medio</v>
      </c>
      <c r="L14" s="102"/>
      <c r="M14" s="94" t="s">
        <v>143</v>
      </c>
      <c r="N14" s="94" t="s">
        <v>160</v>
      </c>
      <c r="O14" s="107" t="s">
        <v>164</v>
      </c>
      <c r="P14" s="108" t="s">
        <v>29</v>
      </c>
      <c r="Q14" s="104">
        <v>1</v>
      </c>
    </row>
    <row r="15" spans="1:17" ht="75" customHeight="1" x14ac:dyDescent="0.25">
      <c r="A15" s="96">
        <v>9</v>
      </c>
      <c r="B15" s="96" t="s">
        <v>38</v>
      </c>
      <c r="C15" s="98" t="s">
        <v>145</v>
      </c>
      <c r="D15" s="96" t="s">
        <v>22</v>
      </c>
      <c r="E15" s="94" t="s">
        <v>146</v>
      </c>
      <c r="F15" s="94" t="s">
        <v>148</v>
      </c>
      <c r="G15" s="95" t="s">
        <v>150</v>
      </c>
      <c r="H15" s="108">
        <v>2</v>
      </c>
      <c r="I15" s="96">
        <v>4</v>
      </c>
      <c r="J15" s="101">
        <f t="shared" si="1"/>
        <v>8</v>
      </c>
      <c r="K15" s="96" t="str">
        <f t="shared" si="0"/>
        <v>Medio</v>
      </c>
      <c r="L15" s="109"/>
      <c r="M15" s="94" t="s">
        <v>152</v>
      </c>
      <c r="N15" s="94" t="s">
        <v>161</v>
      </c>
      <c r="O15" s="110" t="s">
        <v>28</v>
      </c>
      <c r="P15" s="111" t="s">
        <v>29</v>
      </c>
      <c r="Q15" s="112">
        <v>1</v>
      </c>
    </row>
    <row r="16" spans="1:17" ht="75" customHeight="1" x14ac:dyDescent="0.25">
      <c r="A16" s="96">
        <v>10</v>
      </c>
      <c r="B16" s="96" t="s">
        <v>39</v>
      </c>
      <c r="C16" s="98" t="s">
        <v>144</v>
      </c>
      <c r="D16" s="96" t="s">
        <v>22</v>
      </c>
      <c r="E16" s="94" t="s">
        <v>147</v>
      </c>
      <c r="F16" s="94" t="s">
        <v>149</v>
      </c>
      <c r="G16" s="123" t="s">
        <v>151</v>
      </c>
      <c r="H16" s="110">
        <v>2</v>
      </c>
      <c r="I16" s="103">
        <v>4</v>
      </c>
      <c r="J16" s="101">
        <f t="shared" si="1"/>
        <v>8</v>
      </c>
      <c r="K16" s="96" t="str">
        <f t="shared" si="0"/>
        <v>Medio</v>
      </c>
      <c r="L16" s="102"/>
      <c r="M16" s="94" t="s">
        <v>153</v>
      </c>
      <c r="N16" s="94" t="s">
        <v>162</v>
      </c>
      <c r="O16" s="97" t="s">
        <v>28</v>
      </c>
      <c r="P16" s="113" t="s">
        <v>29</v>
      </c>
      <c r="Q16" s="104">
        <v>1</v>
      </c>
    </row>
    <row r="18" spans="1:17" x14ac:dyDescent="0.25">
      <c r="A18" s="15" t="s">
        <v>40</v>
      </c>
      <c r="E18" s="5"/>
    </row>
    <row r="19" spans="1:17" x14ac:dyDescent="0.25">
      <c r="A19" s="15" t="s">
        <v>41</v>
      </c>
      <c r="B19" s="1"/>
      <c r="C19" s="4"/>
      <c r="D19" s="4"/>
      <c r="E19" s="1"/>
    </row>
    <row r="20" spans="1:17" x14ac:dyDescent="0.25">
      <c r="A20" s="15" t="s">
        <v>42</v>
      </c>
      <c r="B20" s="1"/>
      <c r="C20" s="4"/>
      <c r="D20" s="4"/>
      <c r="E20" s="4"/>
    </row>
    <row r="21" spans="1:17" x14ac:dyDescent="0.25">
      <c r="A21" s="15" t="s">
        <v>43</v>
      </c>
      <c r="B21" s="1"/>
      <c r="C21" s="4"/>
      <c r="D21" s="4"/>
      <c r="E21" s="4"/>
      <c r="G21" s="16"/>
      <c r="Q21" s="12"/>
    </row>
    <row r="22" spans="1:17" x14ac:dyDescent="0.25">
      <c r="E22" s="5"/>
      <c r="G22" s="16"/>
      <c r="Q22" s="12"/>
    </row>
    <row r="23" spans="1:17" x14ac:dyDescent="0.25">
      <c r="E23" s="5"/>
      <c r="G23" s="16"/>
      <c r="Q23" s="12"/>
    </row>
    <row r="24" spans="1:17" x14ac:dyDescent="0.25">
      <c r="E24" s="5"/>
    </row>
  </sheetData>
  <autoFilter ref="A6:Q6" xr:uid="{C788D0FE-78E6-464E-8A95-CD9D8F15E456}"/>
  <mergeCells count="3">
    <mergeCell ref="H5:I5"/>
    <mergeCell ref="O5:P5"/>
    <mergeCell ref="A4:F4"/>
  </mergeCells>
  <phoneticPr fontId="24" type="noConversion"/>
  <conditionalFormatting sqref="J7:J16">
    <cfRule type="cellIs" dxfId="11" priority="117" operator="between">
      <formula>10</formula>
      <formula>16</formula>
    </cfRule>
    <cfRule type="cellIs" dxfId="10" priority="118" operator="between">
      <formula>6</formula>
      <formula>9</formula>
    </cfRule>
    <cfRule type="cellIs" dxfId="9" priority="119" operator="between">
      <formula>2.25</formula>
      <formula>5.999</formula>
    </cfRule>
    <cfRule type="cellIs" dxfId="8" priority="120" operator="between">
      <formula>0.01</formula>
      <formula>2.24</formula>
    </cfRule>
  </conditionalFormatting>
  <conditionalFormatting sqref="Q7:Q16">
    <cfRule type="cellIs" dxfId="7" priority="113" operator="equal">
      <formula>1</formula>
    </cfRule>
    <cfRule type="cellIs" dxfId="6" priority="114" operator="equal">
      <formula>0.25</formula>
    </cfRule>
    <cfRule type="cellIs" dxfId="5" priority="115" operator="equal">
      <formula>0.5</formula>
    </cfRule>
    <cfRule type="cellIs" dxfId="4" priority="116" operator="equal">
      <formula>0.75</formula>
    </cfRule>
  </conditionalFormatting>
  <dataValidations count="5">
    <dataValidation type="list" allowBlank="1" showInputMessage="1" showErrorMessage="1" sqref="G7:G10" xr:uid="{00000000-0002-0000-0000-000001000000}">
      <formula1>causa</formula1>
    </dataValidation>
    <dataValidation type="list" allowBlank="1" showInputMessage="1" showErrorMessage="1" sqref="H7:H10 H12:H16 I7:I16" xr:uid="{00000000-0002-0000-0000-000003000000}">
      <formula1>"1,2,3,4"</formula1>
    </dataValidation>
    <dataValidation type="list" allowBlank="1" showInputMessage="1" showErrorMessage="1" sqref="O7:O16" xr:uid="{00000000-0002-0000-0000-000004000000}">
      <formula1>"M,A"</formula1>
    </dataValidation>
    <dataValidation type="list" allowBlank="1" showInputMessage="1" showErrorMessage="1" sqref="P7:P16" xr:uid="{00000000-0002-0000-0000-000005000000}">
      <formula1>"P,C"</formula1>
    </dataValidation>
    <dataValidation type="list" allowBlank="1" showInputMessage="1" showErrorMessage="1" sqref="Q7:Q16" xr:uid="{00000000-0002-0000-0000-000006000000}">
      <formula1>"25%,50%,75%,100%"</formula1>
    </dataValidation>
  </dataValidations>
  <pageMargins left="0.78740157480314965" right="0.43307086614173229" top="0.39370078740157483" bottom="0.59055118110236227" header="0.31496062992125984" footer="0.31496062992125984"/>
  <pageSetup paperSize="5" scale="75" orientation="landscape" horizontalDpi="4294967293"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L31"/>
  <sheetViews>
    <sheetView showGridLines="0" topLeftCell="A9" zoomScale="89" workbookViewId="0">
      <selection activeCell="D18" sqref="D18"/>
    </sheetView>
  </sheetViews>
  <sheetFormatPr baseColWidth="10" defaultColWidth="11.42578125" defaultRowHeight="12.75" x14ac:dyDescent="0.2"/>
  <cols>
    <col min="1" max="1" width="11.42578125" style="5"/>
    <col min="2" max="2" width="62.7109375" style="1" customWidth="1"/>
    <col min="3" max="3" width="46.28515625" style="5" customWidth="1"/>
    <col min="4" max="4" width="9.140625" style="1" bestFit="1" customWidth="1"/>
    <col min="5" max="5" width="103" style="1" customWidth="1"/>
    <col min="6" max="6" width="15.42578125" style="90" customWidth="1"/>
    <col min="7" max="7" width="13.85546875" style="1" customWidth="1"/>
    <col min="8" max="10" width="13.85546875" style="1" hidden="1" customWidth="1"/>
    <col min="11" max="11" width="24.28515625" style="1" hidden="1" customWidth="1"/>
    <col min="12" max="16384" width="11.42578125" style="1"/>
  </cols>
  <sheetData>
    <row r="2" spans="1:12" x14ac:dyDescent="0.2">
      <c r="B2" s="17" t="s">
        <v>44</v>
      </c>
      <c r="C2" s="17"/>
      <c r="D2" s="17"/>
      <c r="E2" s="4"/>
      <c r="G2" s="2"/>
      <c r="H2" s="2"/>
      <c r="I2" s="2"/>
      <c r="J2" s="2"/>
      <c r="K2" s="2"/>
    </row>
    <row r="3" spans="1:12" x14ac:dyDescent="0.2">
      <c r="B3" s="135" t="s">
        <v>45</v>
      </c>
      <c r="C3" s="135"/>
      <c r="D3" s="135"/>
      <c r="E3" s="2"/>
      <c r="G3" s="2"/>
      <c r="H3" s="2"/>
      <c r="I3" s="2"/>
      <c r="J3" s="2"/>
      <c r="K3" s="2"/>
    </row>
    <row r="4" spans="1:12" x14ac:dyDescent="0.2">
      <c r="B4" s="2"/>
      <c r="D4" s="2"/>
      <c r="E4" s="2"/>
      <c r="G4" s="2"/>
      <c r="H4" s="2"/>
      <c r="I4" s="2"/>
      <c r="J4" s="2"/>
      <c r="K4" s="2"/>
    </row>
    <row r="5" spans="1:12" ht="15.75" customHeight="1" x14ac:dyDescent="0.2">
      <c r="B5" s="1" t="s">
        <v>167</v>
      </c>
    </row>
    <row r="6" spans="1:12" ht="15.75" customHeight="1" x14ac:dyDescent="0.2">
      <c r="B6" s="1" t="s">
        <v>168</v>
      </c>
    </row>
    <row r="7" spans="1:12" ht="15.75" customHeight="1" x14ac:dyDescent="0.2">
      <c r="B7" s="1" t="s">
        <v>170</v>
      </c>
    </row>
    <row r="8" spans="1:12" ht="15.75" customHeight="1" x14ac:dyDescent="0.2">
      <c r="B8" s="1" t="s">
        <v>169</v>
      </c>
    </row>
    <row r="9" spans="1:12" ht="18.75" customHeight="1" x14ac:dyDescent="0.2"/>
    <row r="10" spans="1:12" ht="36" x14ac:dyDescent="0.2">
      <c r="A10" s="78" t="s">
        <v>46</v>
      </c>
      <c r="B10" s="78" t="s">
        <v>9</v>
      </c>
      <c r="C10" s="78" t="s">
        <v>47</v>
      </c>
      <c r="D10" s="79" t="s">
        <v>48</v>
      </c>
      <c r="E10" s="78" t="s">
        <v>49</v>
      </c>
      <c r="F10" s="78" t="s">
        <v>50</v>
      </c>
      <c r="G10" s="77" t="s">
        <v>51</v>
      </c>
      <c r="H10" s="77" t="s">
        <v>52</v>
      </c>
      <c r="I10" s="77" t="s">
        <v>53</v>
      </c>
      <c r="J10" s="77" t="s">
        <v>54</v>
      </c>
      <c r="K10" s="77" t="s">
        <v>55</v>
      </c>
      <c r="L10" s="25" t="s">
        <v>56</v>
      </c>
    </row>
    <row r="11" spans="1:12" ht="55.5" customHeight="1" x14ac:dyDescent="0.2">
      <c r="A11" s="6">
        <f>'Matriz de Riesgo'!A7</f>
        <v>1</v>
      </c>
      <c r="B11" s="3" t="str">
        <f>'Matriz de Riesgo'!F7</f>
        <v>Los sistemas de registro de usuarios carecen de validación adecuada para asegurar que los usuarios establezcan contraseñas fuertes.</v>
      </c>
      <c r="C11" s="3" t="s">
        <v>180</v>
      </c>
      <c r="D11" s="10" t="s">
        <v>59</v>
      </c>
      <c r="E11" s="132" t="s">
        <v>58</v>
      </c>
      <c r="F11" s="7" t="str">
        <f>'Matriz de Riesgo'!D7</f>
        <v>TI</v>
      </c>
      <c r="G11" s="11">
        <v>45988</v>
      </c>
      <c r="H11" s="122"/>
      <c r="I11" s="122"/>
      <c r="J11" s="122"/>
      <c r="K11" s="122"/>
      <c r="L11" s="23">
        <f>'Matriz de Riesgo'!Q7</f>
        <v>1</v>
      </c>
    </row>
    <row r="12" spans="1:12" ht="48.75" customHeight="1" x14ac:dyDescent="0.2">
      <c r="A12" s="6">
        <f>'Matriz de Riesgo'!A8</f>
        <v>2</v>
      </c>
      <c r="B12" s="3" t="str">
        <f>'Matriz de Riesgo'!F8</f>
        <v>Las cuentas de correo se protegen solo con usuario y contraseña, sin doble factor ni políticas consistentes de filtrado anti-phishing, lo que facilita robo de credenciales.</v>
      </c>
      <c r="C12" s="3" t="s">
        <v>181</v>
      </c>
      <c r="D12" s="10" t="s">
        <v>59</v>
      </c>
      <c r="E12" s="132" t="s">
        <v>171</v>
      </c>
      <c r="F12" s="7" t="str">
        <f>'Matriz de Riesgo'!D8</f>
        <v>TI</v>
      </c>
      <c r="G12" s="11">
        <v>46025</v>
      </c>
      <c r="H12" s="122"/>
      <c r="I12" s="122"/>
      <c r="J12" s="122"/>
      <c r="K12" s="122"/>
      <c r="L12" s="23">
        <f>'Matriz de Riesgo'!Q8</f>
        <v>1</v>
      </c>
    </row>
    <row r="13" spans="1:12" ht="51" customHeight="1" x14ac:dyDescent="0.2">
      <c r="A13" s="6">
        <f>'Matriz de Riesgo'!A9</f>
        <v>3</v>
      </c>
      <c r="B13" s="3" t="str">
        <f>'Matriz de Riesgo'!F9</f>
        <v>No existe un monitoreo proactivo del rendimiento ni un procedimiento formal para actuar ante caídas del sistema, afectando evaluaciones y clases en línea</v>
      </c>
      <c r="C13" s="3" t="s">
        <v>182</v>
      </c>
      <c r="D13" s="10" t="s">
        <v>67</v>
      </c>
      <c r="E13" s="132" t="s">
        <v>172</v>
      </c>
      <c r="F13" s="7" t="str">
        <f>'Matriz de Riesgo'!D9</f>
        <v>TI</v>
      </c>
      <c r="G13" s="11">
        <v>46029</v>
      </c>
      <c r="H13" s="122"/>
      <c r="I13" s="122"/>
      <c r="J13" s="122"/>
      <c r="K13" s="122"/>
      <c r="L13" s="23">
        <f>'Matriz de Riesgo'!Q9</f>
        <v>1</v>
      </c>
    </row>
    <row r="14" spans="1:12" ht="45.75" customHeight="1" x14ac:dyDescent="0.2">
      <c r="A14" s="6">
        <f>'Matriz de Riesgo'!A10</f>
        <v>4</v>
      </c>
      <c r="B14" s="3" t="str">
        <f>'Matriz de Riesgo'!F10</f>
        <v>Cada servidor genera logs de manera aislada; no existe un sistema centralizado que permita correlacionar eventos ni detectar patrones de ataque.</v>
      </c>
      <c r="C14" s="3" t="s">
        <v>183</v>
      </c>
      <c r="D14" s="10" t="s">
        <v>57</v>
      </c>
      <c r="E14" s="132" t="s">
        <v>173</v>
      </c>
      <c r="F14" s="7" t="str">
        <f>'Matriz de Riesgo'!D10</f>
        <v>TI</v>
      </c>
      <c r="G14" s="11">
        <v>46033</v>
      </c>
      <c r="H14" s="122"/>
      <c r="I14" s="122"/>
      <c r="J14" s="122"/>
      <c r="K14" s="122"/>
      <c r="L14" s="23">
        <f>'Matriz de Riesgo'!Q10</f>
        <v>1</v>
      </c>
    </row>
    <row r="15" spans="1:12" ht="48.75" customHeight="1" x14ac:dyDescent="0.2">
      <c r="A15" s="6">
        <f>'Matriz de Riesgo'!A11</f>
        <v>5</v>
      </c>
      <c r="B15" s="3" t="str">
        <f>'Matriz de Riesgo'!F11</f>
        <v>Las capacitaciones en ciberseguridad se realizan de forma esporádica y sin un programa anual; muchos usuarios desconocen buenas prácticas de uso de Wi-Fi, correo o contraseñas.</v>
      </c>
      <c r="C15" s="3" t="s">
        <v>184</v>
      </c>
      <c r="D15" s="10" t="s">
        <v>59</v>
      </c>
      <c r="E15" s="132" t="s">
        <v>174</v>
      </c>
      <c r="F15" s="7" t="str">
        <f>'Matriz de Riesgo'!D11</f>
        <v>TI</v>
      </c>
      <c r="G15" s="11">
        <v>46042</v>
      </c>
      <c r="H15" s="122"/>
      <c r="I15" s="122"/>
      <c r="J15" s="122"/>
      <c r="K15" s="122"/>
      <c r="L15" s="23">
        <f>'Matriz de Riesgo'!Q11</f>
        <v>1</v>
      </c>
    </row>
    <row r="16" spans="1:12" ht="51" customHeight="1" x14ac:dyDescent="0.2">
      <c r="A16" s="6">
        <f>'Matriz de Riesgo'!A12</f>
        <v>6</v>
      </c>
      <c r="B16" s="3" t="str">
        <f>'Matriz de Riesgo'!F12</f>
        <v>No se realizan pruebas periódicas de pentesting o escaneos de seguridad completos que permitan identificar vulnerabilidades explotables en la infraestructura.</v>
      </c>
      <c r="C16" s="3" t="s">
        <v>185</v>
      </c>
      <c r="D16" s="10" t="s">
        <v>57</v>
      </c>
      <c r="E16" s="132" t="s">
        <v>175</v>
      </c>
      <c r="F16" s="7" t="str">
        <f>'Matriz de Riesgo'!D12</f>
        <v>TI</v>
      </c>
      <c r="G16" s="11">
        <v>46055</v>
      </c>
      <c r="H16" s="122"/>
      <c r="I16" s="122"/>
      <c r="J16" s="122"/>
      <c r="K16" s="122"/>
      <c r="L16" s="23">
        <f>'Matriz de Riesgo'!Q12</f>
        <v>1</v>
      </c>
    </row>
    <row r="17" spans="1:12" ht="50.25" customHeight="1" x14ac:dyDescent="0.2">
      <c r="A17" s="124">
        <f>'Matriz de Riesgo'!A13</f>
        <v>7</v>
      </c>
      <c r="B17" s="117" t="str">
        <f>'Matriz de Riesgo'!F13</f>
        <v>Los portales y aplicaciones web se actualizan funcionalmente, pero no pasan por pruebas de seguridad especializadas (OWASP), dejando posibles fallos de inyección, XSS o exposición de información.</v>
      </c>
      <c r="C17" s="3" t="s">
        <v>186</v>
      </c>
      <c r="D17" s="10" t="s">
        <v>59</v>
      </c>
      <c r="E17" s="132" t="s">
        <v>176</v>
      </c>
      <c r="F17" s="7" t="str">
        <f>'Matriz de Riesgo'!D13</f>
        <v>TI</v>
      </c>
      <c r="G17" s="11">
        <v>46060</v>
      </c>
      <c r="L17" s="23">
        <f>'Matriz de Riesgo'!Q13</f>
        <v>1</v>
      </c>
    </row>
    <row r="18" spans="1:12" ht="64.5" customHeight="1" x14ac:dyDescent="0.2">
      <c r="A18" s="6">
        <f>'Matriz de Riesgo'!A14</f>
        <v>8</v>
      </c>
      <c r="B18" s="3" t="str">
        <f>'Matriz de Riesgo'!F14</f>
        <v>En los equipos se encuentran múltiples aplicaciones instaladas por los usuarios (descargas de Internet, versiones de prueba, herramientas no académicas) sin estar registradas ni aprobadas, lo que aumenta la superficie de ataque.</v>
      </c>
      <c r="C18" s="3" t="s">
        <v>187</v>
      </c>
      <c r="D18" s="10" t="s">
        <v>67</v>
      </c>
      <c r="E18" s="132" t="s">
        <v>177</v>
      </c>
      <c r="F18" s="7" t="str">
        <f>'Matriz de Riesgo'!D14</f>
        <v>TI</v>
      </c>
      <c r="G18" s="11">
        <v>46069</v>
      </c>
      <c r="L18" s="23">
        <f>'Matriz de Riesgo'!Q14</f>
        <v>1</v>
      </c>
    </row>
    <row r="19" spans="1:12" ht="47.25" customHeight="1" x14ac:dyDescent="0.2">
      <c r="A19" s="6">
        <f>'Matriz de Riesgo'!A15</f>
        <v>9</v>
      </c>
      <c r="B19" s="3" t="str">
        <f>'Matriz de Riesgo'!F15</f>
        <v>No hay un registro consolidado de todos los switches, routers, puntos de acceso y otros dispositivos de red por campus; algunos fueron instalados en proyectos antiguos y no figuran en el inventario actual.</v>
      </c>
      <c r="C19" s="3" t="s">
        <v>188</v>
      </c>
      <c r="D19" s="10" t="s">
        <v>67</v>
      </c>
      <c r="E19" s="132" t="s">
        <v>178</v>
      </c>
      <c r="F19" s="7" t="str">
        <f>'Matriz de Riesgo'!D15</f>
        <v>TI</v>
      </c>
      <c r="G19" s="11">
        <v>46075</v>
      </c>
      <c r="L19" s="23">
        <f>'Matriz de Riesgo'!Q15</f>
        <v>1</v>
      </c>
    </row>
    <row r="20" spans="1:12" ht="54" customHeight="1" x14ac:dyDescent="0.2">
      <c r="A20" s="124">
        <f>'Matriz de Riesgo'!A16</f>
        <v>10</v>
      </c>
      <c r="B20" s="117" t="str">
        <f>'Matriz de Riesgo'!F16</f>
        <v>Algunos contratos con plataformas externas (pagos, biblioteca, herramientas académicas) no incluyen cláusulas específicas sobre seguridad de la información, notificación de incidentes o ubicación/geografía de los datos.</v>
      </c>
      <c r="C20" s="3" t="s">
        <v>189</v>
      </c>
      <c r="D20" s="10" t="s">
        <v>67</v>
      </c>
      <c r="E20" s="132" t="s">
        <v>179</v>
      </c>
      <c r="F20" s="126" t="str">
        <f>'Matriz de Riesgo'!D16</f>
        <v>TI</v>
      </c>
      <c r="G20" s="127">
        <v>46078</v>
      </c>
      <c r="L20" s="128">
        <f>'Matriz de Riesgo'!Q16</f>
        <v>1</v>
      </c>
    </row>
    <row r="21" spans="1:12" ht="40.5" customHeight="1" x14ac:dyDescent="0.2">
      <c r="A21" s="129"/>
      <c r="B21" s="130"/>
      <c r="C21" s="129"/>
      <c r="D21" s="129"/>
      <c r="E21" s="129"/>
      <c r="F21" s="129"/>
      <c r="G21" s="129"/>
      <c r="H21" s="129"/>
      <c r="I21" s="129"/>
      <c r="J21" s="129"/>
      <c r="K21" s="129"/>
      <c r="L21" s="131"/>
    </row>
    <row r="22" spans="1:12" x14ac:dyDescent="0.2">
      <c r="A22" s="1"/>
      <c r="B22" s="118"/>
      <c r="C22" s="1"/>
      <c r="F22" s="1"/>
      <c r="L22" s="119"/>
    </row>
    <row r="23" spans="1:12" x14ac:dyDescent="0.2">
      <c r="A23" s="1"/>
      <c r="B23" s="118"/>
      <c r="C23" s="1"/>
      <c r="F23" s="1"/>
      <c r="L23" s="119"/>
    </row>
    <row r="24" spans="1:12" x14ac:dyDescent="0.2">
      <c r="A24" s="1"/>
      <c r="B24" s="118"/>
      <c r="C24" s="1"/>
      <c r="F24" s="1"/>
      <c r="L24" s="119"/>
    </row>
    <row r="25" spans="1:12" x14ac:dyDescent="0.2">
      <c r="A25" s="1"/>
      <c r="C25" s="1"/>
      <c r="F25" s="1"/>
    </row>
    <row r="26" spans="1:12" x14ac:dyDescent="0.2">
      <c r="A26" s="1"/>
      <c r="C26" s="1"/>
      <c r="F26" s="1"/>
    </row>
    <row r="27" spans="1:12" x14ac:dyDescent="0.2">
      <c r="B27" s="120"/>
    </row>
    <row r="28" spans="1:12" x14ac:dyDescent="0.2">
      <c r="B28" s="121"/>
    </row>
    <row r="29" spans="1:12" x14ac:dyDescent="0.2">
      <c r="B29" s="121"/>
    </row>
    <row r="30" spans="1:12" x14ac:dyDescent="0.2">
      <c r="B30" s="121"/>
    </row>
    <row r="31" spans="1:12" x14ac:dyDescent="0.2">
      <c r="B31" s="121"/>
    </row>
  </sheetData>
  <autoFilter ref="A10:L10" xr:uid="{5B728FD0-8622-42BF-B5B0-657AA90DE652}">
    <sortState xmlns:xlrd2="http://schemas.microsoft.com/office/spreadsheetml/2017/richdata2" ref="A11:L23">
      <sortCondition ref="A10"/>
    </sortState>
  </autoFilter>
  <mergeCells count="1">
    <mergeCell ref="B3:D3"/>
  </mergeCells>
  <phoneticPr fontId="24" type="noConversion"/>
  <conditionalFormatting sqref="L11:L24">
    <cfRule type="cellIs" dxfId="3" priority="1" stopIfTrue="1" operator="between">
      <formula>10</formula>
      <formula>16</formula>
    </cfRule>
    <cfRule type="cellIs" dxfId="2" priority="2" operator="between">
      <formula>4</formula>
      <formula>8.9</formula>
    </cfRule>
    <cfRule type="cellIs" dxfId="1" priority="3" operator="between">
      <formula>2.25</formula>
      <formula>5.999</formula>
    </cfRule>
    <cfRule type="cellIs" dxfId="0" priority="4" operator="between">
      <formula>0.01</formula>
      <formula>2.24</formula>
    </cfRule>
  </conditionalFormatting>
  <pageMargins left="0.70866141732283472" right="0.43307086614173229" top="0.39370078740157483" bottom="0.59055118110236227" header="0.31496062992125984" footer="0.31496062992125984"/>
  <pageSetup scale="90" orientation="landscape"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25"/>
  <sheetViews>
    <sheetView topLeftCell="A4" zoomScale="71" zoomScaleNormal="72" workbookViewId="0">
      <selection activeCell="P7" sqref="P7"/>
    </sheetView>
  </sheetViews>
  <sheetFormatPr baseColWidth="10" defaultColWidth="11.42578125" defaultRowHeight="35.1" customHeight="1" x14ac:dyDescent="0.2"/>
  <cols>
    <col min="1" max="1" width="10.7109375" style="29" customWidth="1"/>
    <col min="2" max="2" width="5.7109375" style="29" customWidth="1"/>
    <col min="3" max="3" width="14.42578125" style="29" bestFit="1" customWidth="1"/>
    <col min="4" max="4" width="15.85546875" style="29" bestFit="1" customWidth="1"/>
    <col min="5" max="8" width="12" style="29" customWidth="1"/>
    <col min="9" max="9" width="5.85546875" style="29" customWidth="1"/>
    <col min="10" max="10" width="14.7109375" style="29" customWidth="1"/>
    <col min="11" max="11" width="17.140625" style="29" customWidth="1"/>
    <col min="12" max="12" width="20.140625" style="29" customWidth="1"/>
    <col min="13" max="13" width="12.42578125" style="29" customWidth="1"/>
    <col min="14" max="14" width="14.42578125" style="29" customWidth="1"/>
    <col min="15" max="15" width="5.7109375" style="29" customWidth="1"/>
    <col min="16" max="19" width="14" style="29" customWidth="1"/>
    <col min="20" max="20" width="5.7109375" style="29" customWidth="1"/>
    <col min="21" max="22" width="10.7109375" style="29" customWidth="1"/>
    <col min="23" max="16384" width="11.42578125" style="29"/>
  </cols>
  <sheetData>
    <row r="1" spans="1:29" s="30" customFormat="1" ht="35.1" customHeight="1" thickBot="1" x14ac:dyDescent="0.25">
      <c r="A1" s="29"/>
      <c r="B1" s="136" t="s">
        <v>60</v>
      </c>
      <c r="C1" s="137"/>
      <c r="D1" s="137"/>
      <c r="E1" s="137"/>
      <c r="F1" s="137"/>
      <c r="G1" s="137"/>
      <c r="H1" s="137"/>
      <c r="I1" s="138"/>
      <c r="J1" s="13"/>
      <c r="K1" s="13"/>
      <c r="L1" s="13"/>
      <c r="M1" s="136" t="s">
        <v>61</v>
      </c>
      <c r="N1" s="137"/>
      <c r="O1" s="137"/>
      <c r="P1" s="137"/>
      <c r="Q1" s="137"/>
      <c r="R1" s="137"/>
      <c r="S1" s="137"/>
      <c r="T1" s="138"/>
      <c r="U1" s="29"/>
      <c r="V1" s="29"/>
      <c r="W1" s="29"/>
      <c r="X1" s="29"/>
      <c r="Y1" s="29"/>
      <c r="Z1" s="29"/>
      <c r="AA1" s="29"/>
      <c r="AB1" s="29"/>
      <c r="AC1" s="29"/>
    </row>
    <row r="2" spans="1:29" ht="9.9499999999999993" customHeight="1" thickBot="1" x14ac:dyDescent="0.25">
      <c r="B2" s="31"/>
      <c r="C2" s="32"/>
      <c r="D2" s="13"/>
      <c r="E2" s="13"/>
      <c r="F2" s="13"/>
      <c r="G2" s="13"/>
      <c r="H2" s="13"/>
      <c r="I2" s="13"/>
      <c r="J2" s="13"/>
      <c r="K2" s="13"/>
      <c r="L2" s="13"/>
      <c r="M2" s="31"/>
      <c r="N2" s="32"/>
      <c r="O2" s="13"/>
      <c r="P2" s="13"/>
      <c r="Q2" s="13"/>
      <c r="R2" s="13"/>
      <c r="S2" s="13"/>
      <c r="T2" s="13"/>
    </row>
    <row r="3" spans="1:29" s="30" customFormat="1" ht="35.1" customHeight="1" thickBot="1" x14ac:dyDescent="0.25">
      <c r="A3" s="29"/>
      <c r="B3" s="33"/>
      <c r="C3" s="34"/>
      <c r="D3" s="35"/>
      <c r="E3" s="35"/>
      <c r="F3" s="35"/>
      <c r="G3" s="35"/>
      <c r="H3" s="35"/>
      <c r="I3" s="36"/>
      <c r="J3" s="13"/>
      <c r="K3" s="13"/>
      <c r="L3" s="13"/>
      <c r="M3" s="33"/>
      <c r="N3" s="34"/>
      <c r="O3" s="35"/>
      <c r="P3" s="35"/>
      <c r="Q3" s="35"/>
      <c r="R3" s="35"/>
      <c r="S3" s="35"/>
      <c r="T3" s="36"/>
      <c r="U3" s="29"/>
      <c r="V3" s="29"/>
      <c r="W3" s="29"/>
      <c r="X3" s="29"/>
      <c r="Y3" s="29"/>
      <c r="Z3" s="29"/>
      <c r="AA3" s="29"/>
      <c r="AB3" s="29"/>
      <c r="AC3" s="29"/>
    </row>
    <row r="4" spans="1:29" s="30" customFormat="1" ht="48.75" customHeight="1" thickBot="1" x14ac:dyDescent="0.25">
      <c r="A4" s="29"/>
      <c r="B4" s="139" t="s">
        <v>62</v>
      </c>
      <c r="C4" s="37" t="s">
        <v>63</v>
      </c>
      <c r="D4" s="38"/>
      <c r="E4" s="82"/>
      <c r="F4" s="83"/>
      <c r="G4" s="84"/>
      <c r="H4" s="84">
        <f>COUNTIFS('Matriz de Riesgo'!K:K,"Alto")</f>
        <v>6</v>
      </c>
      <c r="I4" s="39"/>
      <c r="J4" s="13"/>
      <c r="K4" s="13"/>
      <c r="L4" s="13"/>
      <c r="M4" s="139" t="s">
        <v>62</v>
      </c>
      <c r="N4" s="37" t="s">
        <v>63</v>
      </c>
      <c r="O4" s="38"/>
      <c r="P4" s="82"/>
      <c r="Q4" s="83"/>
      <c r="R4" s="84"/>
      <c r="S4" s="84">
        <f>COUNTIFS('Plantilla Mitigación'!D:D,"Alto")</f>
        <v>0</v>
      </c>
      <c r="T4" s="39"/>
      <c r="U4" s="29"/>
      <c r="V4" s="29"/>
      <c r="W4" s="29"/>
      <c r="X4" s="29"/>
      <c r="Y4" s="29"/>
      <c r="Z4" s="29"/>
      <c r="AA4" s="29"/>
      <c r="AB4" s="29"/>
      <c r="AC4" s="29"/>
    </row>
    <row r="5" spans="1:29" s="30" customFormat="1" ht="49.5" customHeight="1" thickBot="1" x14ac:dyDescent="0.25">
      <c r="A5" s="29"/>
      <c r="B5" s="139"/>
      <c r="C5" s="37" t="s">
        <v>64</v>
      </c>
      <c r="D5" s="40"/>
      <c r="E5" s="82"/>
      <c r="F5" s="83"/>
      <c r="G5" s="83">
        <f>COUNTIFS('Matriz de Riesgo'!K:K,"Medio")</f>
        <v>4</v>
      </c>
      <c r="H5" s="84"/>
      <c r="I5" s="39"/>
      <c r="J5" s="13"/>
      <c r="K5" s="13"/>
      <c r="L5" s="13"/>
      <c r="M5" s="139"/>
      <c r="N5" s="37" t="s">
        <v>64</v>
      </c>
      <c r="O5" s="40"/>
      <c r="P5" s="82"/>
      <c r="Q5" s="83"/>
      <c r="R5" s="83">
        <f>COUNTIFS('Plantilla Mitigación'!D:D,"Medio")</f>
        <v>2</v>
      </c>
      <c r="S5" s="84"/>
      <c r="T5" s="39"/>
      <c r="U5" s="29"/>
      <c r="V5" s="29"/>
      <c r="W5" s="29"/>
      <c r="X5" s="29"/>
      <c r="Y5" s="29"/>
      <c r="Z5" s="29"/>
      <c r="AA5" s="29"/>
      <c r="AB5" s="29"/>
      <c r="AC5" s="29"/>
    </row>
    <row r="6" spans="1:29" s="30" customFormat="1" ht="57" customHeight="1" thickBot="1" x14ac:dyDescent="0.25">
      <c r="A6" s="29"/>
      <c r="B6" s="139"/>
      <c r="C6" s="37" t="s">
        <v>65</v>
      </c>
      <c r="D6" s="40"/>
      <c r="E6" s="85"/>
      <c r="F6" s="82">
        <f>COUNTIFS('Matriz de Riesgo'!K:K,"Moderado")</f>
        <v>0</v>
      </c>
      <c r="G6" s="83"/>
      <c r="H6" s="83"/>
      <c r="I6" s="39"/>
      <c r="J6" s="13"/>
      <c r="K6" s="13"/>
      <c r="L6" s="13"/>
      <c r="M6" s="139"/>
      <c r="N6" s="37" t="s">
        <v>65</v>
      </c>
      <c r="O6" s="40"/>
      <c r="P6" s="85"/>
      <c r="Q6" s="82">
        <f>COUNTIFS('Plantilla Mitigación'!D:D,"Moderado")</f>
        <v>4</v>
      </c>
      <c r="R6" s="83"/>
      <c r="S6" s="83"/>
      <c r="T6" s="39"/>
      <c r="U6" s="29"/>
      <c r="V6" s="29"/>
      <c r="W6" s="29"/>
      <c r="X6" s="29"/>
      <c r="Y6" s="29"/>
      <c r="Z6" s="29"/>
      <c r="AA6" s="29"/>
      <c r="AB6" s="29"/>
      <c r="AC6" s="29"/>
    </row>
    <row r="7" spans="1:29" s="30" customFormat="1" ht="51" customHeight="1" thickBot="1" x14ac:dyDescent="0.25">
      <c r="A7" s="29"/>
      <c r="B7" s="139"/>
      <c r="C7" s="37" t="s">
        <v>66</v>
      </c>
      <c r="D7" s="40"/>
      <c r="E7" s="85">
        <f>COUNTIFS('Matriz de Riesgo'!K:K,"Bajo")</f>
        <v>0</v>
      </c>
      <c r="F7" s="85"/>
      <c r="G7" s="82"/>
      <c r="H7" s="82"/>
      <c r="I7" s="39"/>
      <c r="J7" s="13"/>
      <c r="K7" s="13"/>
      <c r="L7" s="13"/>
      <c r="M7" s="139"/>
      <c r="N7" s="37" t="s">
        <v>66</v>
      </c>
      <c r="O7" s="40"/>
      <c r="P7" s="85">
        <f>COUNTIFS('Plantilla Mitigación'!D:D,"Bajo")</f>
        <v>4</v>
      </c>
      <c r="Q7" s="85"/>
      <c r="R7" s="82"/>
      <c r="S7" s="82"/>
      <c r="T7" s="39"/>
      <c r="U7" s="29"/>
      <c r="V7" s="29"/>
      <c r="W7" s="29"/>
      <c r="X7" s="29"/>
      <c r="Y7" s="29"/>
      <c r="Z7" s="29"/>
      <c r="AA7" s="29"/>
      <c r="AB7" s="29"/>
      <c r="AC7" s="29"/>
    </row>
    <row r="8" spans="1:29" s="30" customFormat="1" ht="19.5" customHeight="1" thickBot="1" x14ac:dyDescent="0.25">
      <c r="A8" s="29"/>
      <c r="B8" s="41"/>
      <c r="C8" s="42"/>
      <c r="D8" s="43"/>
      <c r="E8" s="43"/>
      <c r="F8" s="43"/>
      <c r="G8" s="43"/>
      <c r="H8" s="43"/>
      <c r="I8" s="39"/>
      <c r="J8" s="13"/>
      <c r="K8" s="13"/>
      <c r="L8" s="13"/>
      <c r="M8" s="41"/>
      <c r="N8" s="42"/>
      <c r="O8" s="43"/>
      <c r="P8" s="43"/>
      <c r="Q8" s="43"/>
      <c r="R8" s="43"/>
      <c r="S8" s="43"/>
      <c r="T8" s="39"/>
      <c r="U8" s="29"/>
      <c r="V8" s="29"/>
      <c r="W8" s="29"/>
      <c r="X8" s="29"/>
      <c r="Y8" s="29"/>
      <c r="Z8" s="29"/>
      <c r="AA8" s="29"/>
      <c r="AB8" s="29"/>
      <c r="AC8" s="29"/>
    </row>
    <row r="9" spans="1:29" s="30" customFormat="1" ht="23.25" customHeight="1" x14ac:dyDescent="0.2">
      <c r="A9" s="29"/>
      <c r="B9" s="44"/>
      <c r="C9" s="42"/>
      <c r="D9" s="45"/>
      <c r="E9" s="46" t="s">
        <v>67</v>
      </c>
      <c r="F9" s="47" t="s">
        <v>59</v>
      </c>
      <c r="G9" s="48" t="s">
        <v>57</v>
      </c>
      <c r="H9" s="49" t="s">
        <v>36</v>
      </c>
      <c r="I9" s="39"/>
      <c r="J9" s="13"/>
      <c r="K9" s="13"/>
      <c r="L9" s="13"/>
      <c r="M9" s="44"/>
      <c r="N9" s="42"/>
      <c r="O9" s="45"/>
      <c r="P9" s="50" t="s">
        <v>67</v>
      </c>
      <c r="Q9" s="47" t="s">
        <v>59</v>
      </c>
      <c r="R9" s="48" t="s">
        <v>57</v>
      </c>
      <c r="S9" s="49" t="s">
        <v>36</v>
      </c>
      <c r="T9" s="39"/>
      <c r="U9" s="29"/>
      <c r="V9" s="29"/>
      <c r="W9" s="29"/>
      <c r="X9" s="29"/>
      <c r="Y9" s="29"/>
      <c r="Z9" s="29"/>
      <c r="AA9" s="29"/>
      <c r="AB9" s="29"/>
      <c r="AC9" s="29"/>
    </row>
    <row r="10" spans="1:29" s="30" customFormat="1" ht="35.1" customHeight="1" x14ac:dyDescent="0.2">
      <c r="A10" s="29"/>
      <c r="B10" s="44"/>
      <c r="C10" s="42"/>
      <c r="D10" s="45"/>
      <c r="E10" s="51" t="s">
        <v>68</v>
      </c>
      <c r="F10" s="51" t="s">
        <v>69</v>
      </c>
      <c r="G10" s="51" t="s">
        <v>70</v>
      </c>
      <c r="H10" s="51" t="s">
        <v>71</v>
      </c>
      <c r="I10" s="39"/>
      <c r="J10" s="13"/>
      <c r="K10" s="13"/>
      <c r="L10" s="13"/>
      <c r="M10" s="44"/>
      <c r="N10" s="42"/>
      <c r="O10" s="45"/>
      <c r="P10" s="51" t="s">
        <v>68</v>
      </c>
      <c r="Q10" s="51" t="s">
        <v>69</v>
      </c>
      <c r="R10" s="51" t="s">
        <v>70</v>
      </c>
      <c r="S10" s="51" t="s">
        <v>71</v>
      </c>
      <c r="T10" s="39"/>
      <c r="U10" s="29"/>
      <c r="V10" s="29"/>
      <c r="W10" s="29"/>
      <c r="X10" s="29"/>
      <c r="Y10" s="29"/>
      <c r="Z10" s="29"/>
      <c r="AA10" s="29"/>
      <c r="AB10" s="29"/>
      <c r="AC10" s="29"/>
    </row>
    <row r="11" spans="1:29" s="30" customFormat="1" ht="35.1" customHeight="1" thickBot="1" x14ac:dyDescent="0.3">
      <c r="A11" s="29"/>
      <c r="B11" s="52"/>
      <c r="C11" s="53"/>
      <c r="D11" s="54"/>
      <c r="E11" s="140" t="s">
        <v>72</v>
      </c>
      <c r="F11" s="140"/>
      <c r="G11" s="140"/>
      <c r="H11" s="140"/>
      <c r="I11" s="55"/>
      <c r="J11" s="13"/>
      <c r="K11" s="13"/>
      <c r="L11" s="13"/>
      <c r="M11" s="52"/>
      <c r="N11" s="53"/>
      <c r="O11" s="54"/>
      <c r="P11" s="141" t="s">
        <v>72</v>
      </c>
      <c r="Q11" s="141"/>
      <c r="R11" s="141"/>
      <c r="S11" s="141"/>
      <c r="T11" s="55"/>
      <c r="U11" s="29"/>
      <c r="V11" s="29"/>
      <c r="W11" s="29"/>
      <c r="X11" s="29"/>
      <c r="Y11" s="29"/>
      <c r="Z11" s="29"/>
      <c r="AA11" s="29"/>
      <c r="AB11" s="29"/>
      <c r="AC11" s="29"/>
    </row>
    <row r="14" spans="1:29" ht="35.1" customHeight="1" x14ac:dyDescent="0.25">
      <c r="C14" s="152" t="s">
        <v>73</v>
      </c>
      <c r="D14" s="152"/>
      <c r="E14" s="152"/>
      <c r="F14" s="152"/>
      <c r="G14" s="56"/>
      <c r="H14" s="143" t="s">
        <v>74</v>
      </c>
      <c r="I14" s="143"/>
      <c r="J14" s="143" t="s">
        <v>75</v>
      </c>
      <c r="K14" s="143" t="s">
        <v>76</v>
      </c>
      <c r="L14" s="28" t="s">
        <v>76</v>
      </c>
      <c r="M14" s="143" t="s">
        <v>77</v>
      </c>
      <c r="N14" s="143"/>
      <c r="O14" s="143"/>
      <c r="P14" s="143"/>
      <c r="Q14" s="143"/>
      <c r="R14" s="143"/>
    </row>
    <row r="15" spans="1:29" s="30" customFormat="1" ht="62.25" customHeight="1" x14ac:dyDescent="0.2">
      <c r="A15" s="29"/>
      <c r="B15" s="29"/>
      <c r="C15" s="57" t="s">
        <v>36</v>
      </c>
      <c r="D15" s="142" t="s">
        <v>78</v>
      </c>
      <c r="E15" s="142"/>
      <c r="F15" s="142"/>
      <c r="G15" s="58"/>
      <c r="H15" s="153" t="s">
        <v>79</v>
      </c>
      <c r="I15" s="153"/>
      <c r="J15" s="59">
        <v>1</v>
      </c>
      <c r="K15" s="60"/>
      <c r="L15" s="59" t="s">
        <v>66</v>
      </c>
      <c r="M15" s="144" t="s">
        <v>80</v>
      </c>
      <c r="N15" s="145"/>
      <c r="O15" s="145"/>
      <c r="P15" s="145"/>
      <c r="Q15" s="145"/>
      <c r="R15" s="146"/>
      <c r="S15" s="29"/>
      <c r="T15" s="29"/>
      <c r="U15" s="29"/>
      <c r="V15" s="29"/>
      <c r="W15" s="29"/>
      <c r="X15" s="29"/>
      <c r="Y15" s="29"/>
      <c r="Z15" s="29"/>
      <c r="AA15" s="29"/>
      <c r="AB15" s="29"/>
      <c r="AC15" s="29"/>
    </row>
    <row r="16" spans="1:29" s="30" customFormat="1" ht="62.25" customHeight="1" x14ac:dyDescent="0.2">
      <c r="A16" s="29"/>
      <c r="B16" s="29"/>
      <c r="C16" s="61" t="s">
        <v>57</v>
      </c>
      <c r="D16" s="142" t="s">
        <v>78</v>
      </c>
      <c r="E16" s="142"/>
      <c r="F16" s="142"/>
      <c r="G16" s="58"/>
      <c r="H16" s="151" t="s">
        <v>81</v>
      </c>
      <c r="I16" s="151"/>
      <c r="J16" s="62">
        <v>2</v>
      </c>
      <c r="K16" s="63"/>
      <c r="L16" s="62" t="s">
        <v>65</v>
      </c>
      <c r="M16" s="147" t="s">
        <v>82</v>
      </c>
      <c r="N16" s="148"/>
      <c r="O16" s="148"/>
      <c r="P16" s="148"/>
      <c r="Q16" s="148"/>
      <c r="R16" s="149"/>
      <c r="S16" s="29"/>
      <c r="T16" s="29"/>
      <c r="U16" s="29"/>
      <c r="V16" s="29"/>
      <c r="W16" s="29"/>
      <c r="X16" s="29"/>
      <c r="Y16" s="29"/>
      <c r="Z16" s="29"/>
      <c r="AA16" s="29"/>
      <c r="AB16" s="29"/>
      <c r="AC16" s="29"/>
    </row>
    <row r="17" spans="1:29" s="30" customFormat="1" ht="62.25" customHeight="1" x14ac:dyDescent="0.2">
      <c r="A17" s="29"/>
      <c r="B17" s="29"/>
      <c r="C17" s="64" t="s">
        <v>59</v>
      </c>
      <c r="D17" s="142" t="s">
        <v>83</v>
      </c>
      <c r="E17" s="142"/>
      <c r="F17" s="142"/>
      <c r="G17" s="58"/>
      <c r="H17" s="151" t="s">
        <v>84</v>
      </c>
      <c r="I17" s="151"/>
      <c r="J17" s="62">
        <v>3</v>
      </c>
      <c r="K17" s="65"/>
      <c r="L17" s="62" t="s">
        <v>64</v>
      </c>
      <c r="M17" s="150" t="s">
        <v>85</v>
      </c>
      <c r="N17" s="148"/>
      <c r="O17" s="148"/>
      <c r="P17" s="148"/>
      <c r="Q17" s="148"/>
      <c r="R17" s="149"/>
      <c r="S17" s="29"/>
      <c r="T17" s="29"/>
      <c r="U17" s="29"/>
      <c r="V17" s="29"/>
      <c r="W17" s="29"/>
      <c r="X17" s="29"/>
      <c r="Y17" s="29"/>
      <c r="Z17" s="29"/>
      <c r="AA17" s="29"/>
      <c r="AB17" s="29"/>
      <c r="AC17" s="29"/>
    </row>
    <row r="18" spans="1:29" s="30" customFormat="1" ht="62.25" customHeight="1" x14ac:dyDescent="0.2">
      <c r="A18" s="29"/>
      <c r="B18" s="29"/>
      <c r="C18" s="66" t="s">
        <v>67</v>
      </c>
      <c r="D18" s="142" t="s">
        <v>83</v>
      </c>
      <c r="E18" s="142"/>
      <c r="F18" s="142"/>
      <c r="G18" s="58"/>
      <c r="H18" s="151" t="s">
        <v>86</v>
      </c>
      <c r="I18" s="151"/>
      <c r="J18" s="62">
        <v>4</v>
      </c>
      <c r="K18" s="67"/>
      <c r="L18" s="62" t="s">
        <v>63</v>
      </c>
      <c r="M18" s="150" t="s">
        <v>87</v>
      </c>
      <c r="N18" s="148"/>
      <c r="O18" s="148"/>
      <c r="P18" s="148"/>
      <c r="Q18" s="148"/>
      <c r="R18" s="149"/>
      <c r="S18" s="29"/>
      <c r="T18" s="29"/>
      <c r="U18" s="29"/>
      <c r="V18" s="29"/>
      <c r="W18" s="29"/>
      <c r="X18" s="29"/>
      <c r="Y18" s="29"/>
      <c r="Z18" s="29"/>
      <c r="AA18" s="29"/>
      <c r="AB18" s="29"/>
      <c r="AC18" s="29"/>
    </row>
    <row r="20" spans="1:29" s="68" customFormat="1" ht="58.5" customHeight="1" x14ac:dyDescent="0.2">
      <c r="C20" s="28" t="s">
        <v>76</v>
      </c>
      <c r="D20" s="28" t="s">
        <v>14</v>
      </c>
      <c r="J20" s="143" t="s">
        <v>88</v>
      </c>
      <c r="K20" s="143"/>
      <c r="L20" s="143"/>
      <c r="M20" s="86" t="s">
        <v>75</v>
      </c>
      <c r="N20" s="14" t="s">
        <v>76</v>
      </c>
      <c r="P20" s="87" t="s">
        <v>89</v>
      </c>
      <c r="Q20" s="88" t="s">
        <v>75</v>
      </c>
      <c r="R20" s="88" t="s">
        <v>76</v>
      </c>
    </row>
    <row r="21" spans="1:29" s="68" customFormat="1" ht="35.1" customHeight="1" x14ac:dyDescent="0.2">
      <c r="C21" s="60" t="s">
        <v>90</v>
      </c>
      <c r="D21" s="18" t="s">
        <v>67</v>
      </c>
      <c r="J21" s="154" t="s">
        <v>91</v>
      </c>
      <c r="K21" s="155"/>
      <c r="L21" s="69">
        <v>1</v>
      </c>
      <c r="M21" s="60"/>
      <c r="N21" s="69" t="s">
        <v>92</v>
      </c>
      <c r="P21" s="70" t="s">
        <v>93</v>
      </c>
      <c r="Q21" s="71" t="s">
        <v>94</v>
      </c>
      <c r="R21" s="72"/>
    </row>
    <row r="22" spans="1:29" s="68" customFormat="1" ht="35.1" customHeight="1" x14ac:dyDescent="0.2">
      <c r="C22" s="63" t="s">
        <v>95</v>
      </c>
      <c r="D22" s="27" t="s">
        <v>59</v>
      </c>
      <c r="J22" s="156" t="s">
        <v>96</v>
      </c>
      <c r="K22" s="157"/>
      <c r="L22" s="73">
        <v>2</v>
      </c>
      <c r="M22" s="63"/>
      <c r="N22" s="73" t="s">
        <v>59</v>
      </c>
      <c r="P22" s="70" t="s">
        <v>97</v>
      </c>
      <c r="Q22" s="71" t="s">
        <v>98</v>
      </c>
      <c r="R22" s="74"/>
    </row>
    <row r="23" spans="1:29" s="68" customFormat="1" ht="35.1" customHeight="1" x14ac:dyDescent="0.2">
      <c r="C23" s="65" t="s">
        <v>99</v>
      </c>
      <c r="D23" s="27" t="s">
        <v>57</v>
      </c>
      <c r="J23" s="156" t="s">
        <v>100</v>
      </c>
      <c r="K23" s="157"/>
      <c r="L23" s="73">
        <v>3</v>
      </c>
      <c r="M23" s="65"/>
      <c r="N23" s="73" t="s">
        <v>101</v>
      </c>
      <c r="P23" s="70" t="s">
        <v>102</v>
      </c>
      <c r="Q23" s="71" t="s">
        <v>103</v>
      </c>
      <c r="R23" s="75"/>
    </row>
    <row r="24" spans="1:29" s="68" customFormat="1" ht="35.1" customHeight="1" x14ac:dyDescent="0.2">
      <c r="C24" s="67" t="s">
        <v>104</v>
      </c>
      <c r="D24" s="27" t="s">
        <v>36</v>
      </c>
      <c r="J24" s="156" t="s">
        <v>105</v>
      </c>
      <c r="K24" s="157"/>
      <c r="L24" s="73">
        <v>4</v>
      </c>
      <c r="M24" s="67"/>
      <c r="N24" s="73" t="s">
        <v>106</v>
      </c>
      <c r="P24" s="70" t="s">
        <v>107</v>
      </c>
      <c r="Q24" s="71" t="s">
        <v>108</v>
      </c>
      <c r="R24" s="76"/>
    </row>
    <row r="25" spans="1:29" s="68" customFormat="1" ht="35.1" customHeight="1" x14ac:dyDescent="0.2"/>
  </sheetData>
  <mergeCells count="27">
    <mergeCell ref="J20:L20"/>
    <mergeCell ref="J21:K21"/>
    <mergeCell ref="J22:K22"/>
    <mergeCell ref="J23:K23"/>
    <mergeCell ref="J24:K24"/>
    <mergeCell ref="D17:F17"/>
    <mergeCell ref="D18:F18"/>
    <mergeCell ref="H14:I14"/>
    <mergeCell ref="J14:K14"/>
    <mergeCell ref="M15:R15"/>
    <mergeCell ref="M16:R16"/>
    <mergeCell ref="M17:R17"/>
    <mergeCell ref="H16:I16"/>
    <mergeCell ref="H17:I17"/>
    <mergeCell ref="H18:I18"/>
    <mergeCell ref="M18:R18"/>
    <mergeCell ref="D15:F15"/>
    <mergeCell ref="C14:F14"/>
    <mergeCell ref="H15:I15"/>
    <mergeCell ref="M14:R14"/>
    <mergeCell ref="D16:F16"/>
    <mergeCell ref="B1:I1"/>
    <mergeCell ref="M1:T1"/>
    <mergeCell ref="B4:B7"/>
    <mergeCell ref="M4:M7"/>
    <mergeCell ref="E11:H11"/>
    <mergeCell ref="P11:S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 de Riesgo</vt:lpstr>
      <vt:lpstr>Plantilla Mitigación</vt:lpstr>
      <vt:lpstr>Mapa de Riesgos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Isidro Abrego</dc:creator>
  <cp:keywords/>
  <dc:description/>
  <cp:lastModifiedBy>Usuario</cp:lastModifiedBy>
  <cp:revision/>
  <dcterms:created xsi:type="dcterms:W3CDTF">2012-03-28T15:44:14Z</dcterms:created>
  <dcterms:modified xsi:type="dcterms:W3CDTF">2026-01-13T21:26:25Z</dcterms:modified>
  <cp:category/>
  <cp:contentStatus/>
</cp:coreProperties>
</file>